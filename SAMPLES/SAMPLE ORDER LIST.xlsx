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mark.mankoura\Documents\projects\erp\"/>
    </mc:Choice>
  </mc:AlternateContent>
  <xr:revisionPtr revIDLastSave="0" documentId="13_ncr:1_{904E9BC4-63E7-46E5-811F-7FE69D449849}" xr6:coauthVersionLast="47" xr6:coauthVersionMax="47" xr10:uidLastSave="{00000000-0000-0000-0000-000000000000}"/>
  <bookViews>
    <workbookView xWindow="-96" yWindow="-96" windowWidth="23232" windowHeight="13872" firstSheet="1" activeTab="1" xr2:uid="{00000000-000D-0000-FFFF-FFFF00000000}"/>
  </bookViews>
  <sheets>
    <sheet name="Color Code" sheetId="3" r:id="rId1"/>
    <sheet name="Open Po" sheetId="1" r:id="rId2"/>
    <sheet name="Completed 2025" sheetId="11" r:id="rId3"/>
    <sheet name="Completed 2024" sheetId="6" r:id="rId4"/>
    <sheet name="Production Log LN 1" sheetId="12" r:id="rId5"/>
    <sheet name="Production Log LN 2" sheetId="13" r:id="rId6"/>
    <sheet name="Calendar" sheetId="9" r:id="rId7"/>
  </sheets>
  <definedNames>
    <definedName name="_xlnm._FilterDatabase" localSheetId="3" hidden="1">'Completed 2024'!$A$1:$K$170</definedName>
    <definedName name="_xlnm._FilterDatabase" localSheetId="2" hidden="1">'Completed 2025'!$A$1:$K$183</definedName>
    <definedName name="_xlnm._FilterDatabase" localSheetId="1" hidden="1">'Open Po'!$A$1:$K$2</definedName>
    <definedName name="CalendarYear">#REF!</definedName>
    <definedName name="DaysAndWeeks">{0,1,2,3,4,5,6} + {0;1;2;3;4;5}*7</definedName>
    <definedName name="_xlnm.Print_Area" localSheetId="1">'Open Po'!$A$1:$K$2</definedName>
    <definedName name="_xlnm.Print_Area" localSheetId="5">'Production Log LN 2'!$A$1:$G$6</definedName>
    <definedName name="WeekSta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9" i="11" l="1"/>
  <c r="I39" i="11" s="1"/>
  <c r="H141" i="11"/>
  <c r="I141" i="11" s="1"/>
  <c r="H82" i="11"/>
  <c r="I82" i="11" s="1"/>
  <c r="H38" i="11"/>
  <c r="I38" i="11" s="1"/>
  <c r="I80" i="11"/>
  <c r="I79" i="11"/>
  <c r="H43" i="11"/>
  <c r="I43" i="11" s="1"/>
  <c r="I33" i="11"/>
  <c r="I49" i="11"/>
  <c r="I65" i="11"/>
  <c r="I40" i="11"/>
  <c r="H72" i="11"/>
  <c r="I72" i="11" s="1"/>
  <c r="H71" i="11"/>
  <c r="I71" i="11" s="1"/>
  <c r="I118" i="11"/>
  <c r="I12" i="11"/>
  <c r="H150" i="6"/>
  <c r="I150" i="6" s="1"/>
  <c r="H140" i="6"/>
  <c r="I140" i="6" s="1"/>
  <c r="H107" i="6"/>
  <c r="I107" i="6" s="1"/>
  <c r="H106" i="6"/>
  <c r="I106" i="6" s="1"/>
  <c r="H100" i="6"/>
  <c r="H96" i="6"/>
  <c r="I96" i="6" s="1"/>
  <c r="H97" i="6"/>
  <c r="I97" i="6" s="1"/>
  <c r="H89" i="6"/>
  <c r="I89" i="6" s="1"/>
  <c r="H61" i="6"/>
  <c r="H59" i="6"/>
  <c r="I59" i="6" s="1"/>
  <c r="H53" i="6"/>
  <c r="H49" i="6"/>
  <c r="I49" i="6" s="1"/>
  <c r="H40" i="6"/>
  <c r="I40" i="6" s="1"/>
  <c r="H41" i="6"/>
  <c r="I41" i="6"/>
  <c r="H39" i="6"/>
  <c r="I39" i="6" s="1"/>
</calcChain>
</file>

<file path=xl/sharedStrings.xml><?xml version="1.0" encoding="utf-8"?>
<sst xmlns="http://schemas.openxmlformats.org/spreadsheetml/2006/main" count="1660" uniqueCount="691">
  <si>
    <t xml:space="preserve">Customer </t>
  </si>
  <si>
    <t xml:space="preserve">PO# </t>
  </si>
  <si>
    <t>Item#</t>
  </si>
  <si>
    <t xml:space="preserve">QTY </t>
  </si>
  <si>
    <t>Required delivery date</t>
  </si>
  <si>
    <t>Status</t>
  </si>
  <si>
    <t>210-451394-002</t>
  </si>
  <si>
    <t>01-19-2024</t>
  </si>
  <si>
    <t>Advantech</t>
  </si>
  <si>
    <t>ADP116098</t>
  </si>
  <si>
    <t>ADP116099</t>
  </si>
  <si>
    <t>210-451395-002</t>
  </si>
  <si>
    <t>PO05084</t>
  </si>
  <si>
    <t>UgoWork</t>
  </si>
  <si>
    <t>1220-0003-02-A01</t>
  </si>
  <si>
    <t>01-10-2024</t>
  </si>
  <si>
    <t>PO05565</t>
  </si>
  <si>
    <t>04-26-2024</t>
  </si>
  <si>
    <t>JRT-INT-04-V8</t>
  </si>
  <si>
    <t>JRT</t>
  </si>
  <si>
    <t>QTY Shipped</t>
  </si>
  <si>
    <t>Balance</t>
  </si>
  <si>
    <t>Vibro</t>
  </si>
  <si>
    <t>0STC-9128-071T3-306</t>
  </si>
  <si>
    <t>0STC-9128-24500-101</t>
  </si>
  <si>
    <t>Through hole</t>
  </si>
  <si>
    <t>DRS</t>
  </si>
  <si>
    <t>750-1261-04</t>
  </si>
  <si>
    <t>750-1322-01</t>
  </si>
  <si>
    <t>Carma</t>
  </si>
  <si>
    <t>PO19707</t>
  </si>
  <si>
    <t>SUB197</t>
  </si>
  <si>
    <t>SUB166</t>
  </si>
  <si>
    <t>PO19467</t>
  </si>
  <si>
    <t>02-15-2024</t>
  </si>
  <si>
    <t>04-15-2024</t>
  </si>
  <si>
    <t>02-01-2024</t>
  </si>
  <si>
    <t>HumanWare</t>
  </si>
  <si>
    <t>PO035449</t>
  </si>
  <si>
    <t>PCBA-0123</t>
  </si>
  <si>
    <t>PCBA-0124</t>
  </si>
  <si>
    <t>PCBA-0125</t>
  </si>
  <si>
    <t>04-2026-006 Rev04</t>
  </si>
  <si>
    <t>Polarsat</t>
  </si>
  <si>
    <t>P39412</t>
  </si>
  <si>
    <t>TelcoBridges</t>
  </si>
  <si>
    <t>TB-2300310</t>
  </si>
  <si>
    <t>2015-90107-2D-LF-WT</t>
  </si>
  <si>
    <t>2015-90114-2B-LF-WT</t>
  </si>
  <si>
    <t>2015-90058-1C-LF-WT</t>
  </si>
  <si>
    <t>01-31-2024</t>
  </si>
  <si>
    <t>2015-90113-2A-LF-WT</t>
  </si>
  <si>
    <t>2015-90209-2A-LF-WT</t>
  </si>
  <si>
    <t>2015-90048-3M-LF-WT</t>
  </si>
  <si>
    <t>2015-90047-3B-LF-WT</t>
  </si>
  <si>
    <t>2015-90132-1CA-LF-WT</t>
  </si>
  <si>
    <t>2015-90133-1C-LF-WT</t>
  </si>
  <si>
    <t>2015-90060-1C-LF-WT</t>
  </si>
  <si>
    <t>2015-90051-1B-LF-WT</t>
  </si>
  <si>
    <t>Stages</t>
  </si>
  <si>
    <t>Color Code</t>
  </si>
  <si>
    <t>Purchasing in Progress</t>
  </si>
  <si>
    <t>Purchasing Completed</t>
  </si>
  <si>
    <t>SMT Kitting</t>
  </si>
  <si>
    <t>SMT Production</t>
  </si>
  <si>
    <t>Packaging</t>
  </si>
  <si>
    <t>shipped</t>
  </si>
  <si>
    <t>at Conformal Coating</t>
  </si>
  <si>
    <t>at inspection after RC from Conformal coating</t>
  </si>
  <si>
    <t>AOI</t>
  </si>
  <si>
    <t>Serial#</t>
  </si>
  <si>
    <t>Line#</t>
  </si>
  <si>
    <t>ADP114740</t>
  </si>
  <si>
    <t>210-400485-012</t>
  </si>
  <si>
    <t>ADP113766</t>
  </si>
  <si>
    <t>210-451321-002</t>
  </si>
  <si>
    <t>ASAP</t>
  </si>
  <si>
    <t>SMT Setup</t>
  </si>
  <si>
    <t>Receiving Inspection</t>
  </si>
  <si>
    <t>Receiving Inspection Completed</t>
  </si>
  <si>
    <t>Final</t>
  </si>
  <si>
    <t>Alazar</t>
  </si>
  <si>
    <t>ATS9130 V1.3</t>
  </si>
  <si>
    <t>02-10-2024</t>
  </si>
  <si>
    <t>ATS9146 C1.3, Loupe</t>
  </si>
  <si>
    <t>Amplifier PCB 0800359</t>
  </si>
  <si>
    <t>Amplifier PCB 0800357</t>
  </si>
  <si>
    <t>9371-PL</t>
  </si>
  <si>
    <t>01-25-2024</t>
  </si>
  <si>
    <t>01-15-2024</t>
  </si>
  <si>
    <t>210-451038-001</t>
  </si>
  <si>
    <t>ADP114058</t>
  </si>
  <si>
    <t>0STC-9183-20N26-100</t>
  </si>
  <si>
    <t>0STC-9183-24D28-111</t>
  </si>
  <si>
    <t>ATSx146, LoupeTB</t>
  </si>
  <si>
    <t>714-156A</t>
  </si>
  <si>
    <t>ATS9440 V1.4 PCB 0800116</t>
  </si>
  <si>
    <t>ATSx352 V1.4, SapinTB</t>
  </si>
  <si>
    <t>02-18-2024</t>
  </si>
  <si>
    <t>TB-2400017</t>
  </si>
  <si>
    <t>Dorval V1.0</t>
  </si>
  <si>
    <t>06-15-2024</t>
  </si>
  <si>
    <t>08-15-2024</t>
  </si>
  <si>
    <t>PO037173</t>
  </si>
  <si>
    <t>03-01-2024</t>
  </si>
  <si>
    <t>IRT</t>
  </si>
  <si>
    <t>0000-000437</t>
  </si>
  <si>
    <t>215-1-227-R02</t>
  </si>
  <si>
    <t>02-22-2024</t>
  </si>
  <si>
    <t>PO20455</t>
  </si>
  <si>
    <t>PO20456</t>
  </si>
  <si>
    <t>PO20457</t>
  </si>
  <si>
    <t>SUB39</t>
  </si>
  <si>
    <t>SUB84</t>
  </si>
  <si>
    <t>CH0000721 - CH0000920</t>
  </si>
  <si>
    <t>CH0000921 - CH0001120</t>
  </si>
  <si>
    <t>CH0000521 - CH0000720</t>
  </si>
  <si>
    <t>TB-2400051</t>
  </si>
  <si>
    <t>04-12-2024</t>
  </si>
  <si>
    <t>Comlab</t>
  </si>
  <si>
    <t>CMEXM-1-ASSY</t>
  </si>
  <si>
    <t>03-24-2024</t>
  </si>
  <si>
    <t>2411-001 - 2411-200</t>
  </si>
  <si>
    <t>2015-90061-2A-LF-WT</t>
  </si>
  <si>
    <t>2015-90112-1A-LF-WT</t>
  </si>
  <si>
    <t>TB-2400062</t>
  </si>
  <si>
    <t>ATS9872 V1.4A, Whistler</t>
  </si>
  <si>
    <t>ATS9373-A3 V1.8</t>
  </si>
  <si>
    <t>ATS9364 V1.4, Neon</t>
  </si>
  <si>
    <t>0STC-9183-20N21-100</t>
  </si>
  <si>
    <t>PO037400</t>
  </si>
  <si>
    <t>FCBA-0028</t>
  </si>
  <si>
    <t>0STC-9121-071TG-110</t>
  </si>
  <si>
    <t>04-02-2024</t>
  </si>
  <si>
    <t>ATS9371</t>
  </si>
  <si>
    <t>04-27-2024</t>
  </si>
  <si>
    <t>70002360-70002509</t>
  </si>
  <si>
    <t>70002510-70002759</t>
  </si>
  <si>
    <t>70002760-70003019</t>
  </si>
  <si>
    <t>70003020-70003279</t>
  </si>
  <si>
    <t>ATS9416 V1.4</t>
  </si>
  <si>
    <t>04-11-2024</t>
  </si>
  <si>
    <t>TB-2400095</t>
  </si>
  <si>
    <t>2015-90107-2DA-LF-WT</t>
  </si>
  <si>
    <t>05-28-2024</t>
  </si>
  <si>
    <t>P39532</t>
  </si>
  <si>
    <t>04-2031-001</t>
  </si>
  <si>
    <t>08-05-2024</t>
  </si>
  <si>
    <t>05-17-2024</t>
  </si>
  <si>
    <t>02-09-2024</t>
  </si>
  <si>
    <t>Monday</t>
  </si>
  <si>
    <t>Tuesday</t>
  </si>
  <si>
    <t>Wednesday</t>
  </si>
  <si>
    <t>Thursday</t>
  </si>
  <si>
    <t>Friday</t>
  </si>
  <si>
    <t>Saturday</t>
  </si>
  <si>
    <r>
      <rPr>
        <sz val="28"/>
        <color rgb="FFFF0000"/>
        <rFont val="Calibri"/>
        <family val="2"/>
        <scheme val="minor"/>
      </rPr>
      <t>May 2024</t>
    </r>
    <r>
      <rPr>
        <sz val="28"/>
        <color theme="1"/>
        <rFont val="Calibri"/>
        <family val="2"/>
        <scheme val="minor"/>
      </rPr>
      <t xml:space="preserve">
</t>
    </r>
    <r>
      <rPr>
        <sz val="28"/>
        <rFont val="Calibri"/>
        <family val="2"/>
        <scheme val="minor"/>
      </rPr>
      <t>June 2024</t>
    </r>
  </si>
  <si>
    <t>Pending PO</t>
  </si>
  <si>
    <t xml:space="preserve">24
Target: 2015-90107 SS QTY: 25
Actual: </t>
  </si>
  <si>
    <t>6
Actual: ATS9371 CS QTY: 15</t>
  </si>
  <si>
    <t>7
Target: ATS9371 CS
Actual: ATS9371 CS QTY: 85</t>
  </si>
  <si>
    <t>241801 - 241864</t>
  </si>
  <si>
    <t>241865 - 241928</t>
  </si>
  <si>
    <t>ATSTB3 V1.3E, Hercules</t>
  </si>
  <si>
    <t>06-08-2024</t>
  </si>
  <si>
    <t>8
Target: ATS9371 CS
Actual: ATS9416 SS QTY: 10
Shipped: 
Polarsat, P39532, 04-2031-001, QTY: 5
Advan., ADP114058, 210-451038-001, QTY: 1
DRS, NCR-24-009, 714-156B, QTY: 5
DRS, 66518, 714-156A, QTY: 12</t>
  </si>
  <si>
    <t>9
Target: ATS9416 CS
Actual: 
2015-90061-2A-LF-WT, SS, QTY: 20</t>
  </si>
  <si>
    <t>10
Target:
1. 2015-90061-2A-LF-WT  QTY: 20
2. 2015-90132-1CA-LF-WT QTY: 25
Actual: 
ATS9416 CS QTY: 10
2015-90061-2A-LF-WT SS QTY: 20
Shipped:
1. Telco, TB-24XX51, 2015-90051, QTY: 48
2. Telco, TB-24XX62, 2015-90047. QTY: 25</t>
  </si>
  <si>
    <t>13
Target: 
SMT For PCBA-0124 QTY: 260
Actual: 
2015-90132-1CA QTY: 25 SS
2015-90132-1CA QTY: 25 CS</t>
  </si>
  <si>
    <t>N/A
N/A
N/A
232995-233084
233085-233163</t>
  </si>
  <si>
    <t>15
Target: 
SMT For PCBA-0123 QTY: 260
Actual: 
SMT For PCBA-0124 SS QTY: (40panel X 2)= 80 Total
Shipped: 
Carma, IO166, QTY: 106
Carma, IO84, QTY: 190
Alazar, ATS9416, QTY: 10
Alazar, ATS9371 QTY: 74</t>
  </si>
  <si>
    <t>14
Target: 
SMT For PCBA-0124 QTY: 260
Actual: 
SMT For PCBA-0124 SS QTY: 37 Panels X 2
Shipped: 
DRS, 750-1322, QTY: 79</t>
  </si>
  <si>
    <t>16
Target: 
SMT For PCBA-0123 QTY: 260
Actual: 
SMT PCBA-0124 SS QTY: (30 X 2boards/Panel)= 60
SMT PCBA-0124 CS QTY: (38 X 2boards/Panel)= 76
T.H: Telco, 2105-90048, QTY: 10
T.H: Carma, Daughter Board, QTY: 60
T.H: PCBA-0124 QTY: 10
Shipped: 
Humanware, PCBA-0124 QTY: 150
Vibro: 0STC-9121-071TG-110, QTY: 21</t>
  </si>
  <si>
    <t>ISC</t>
  </si>
  <si>
    <t>P17296</t>
  </si>
  <si>
    <t>2100-0073-1-P</t>
  </si>
  <si>
    <t>06-21-2024</t>
  </si>
  <si>
    <t>P17297</t>
  </si>
  <si>
    <t>2100-0117-2-P</t>
  </si>
  <si>
    <t>20
Target: 
Comlab SS QTY: 50
actual: 
Shipped: 
Humanware, PCBA-0139, QTY 77</t>
  </si>
  <si>
    <t>JRT-B2B-24IO</t>
  </si>
  <si>
    <t>ATS9874 V1.2, Liquid</t>
  </si>
  <si>
    <t>07-17-2024</t>
  </si>
  <si>
    <t>17
Target: 
SMT For FCBA-0028 QTY: 200
Actual: 
SMT PCBA-0124 CS QTY: (38 X 2boards/Panel)= 76
SMT PCBA-0123 SS QTY: 
T.H Humanware, PCBA-0139, QTY: 77
 Telco, 2015-90048 QTY: 14</t>
  </si>
  <si>
    <t xml:space="preserve">21
Target: 
Comlab CS QTY: 50
actual: 
SMT PCBA-0123 SS 
SMT 2015-90112 QTY: 80
TH 2015-90048 QTY: 15
TH 2015-90112 QTY: 80
Shipped: 
HumanWare, PCBA-0139, QTY: 77
</t>
  </si>
  <si>
    <t>22
Target:
JRT SS QTY: 215
Actual: 
SMT JRT SS QTY: 80
T.H Telco, 2015-90132 QTY: 25
T.H Telco, 2015-90113 QTY: 56
T.H Telco, 2015-90112 QTY: 10
Shipped: 
Telco, 2015-90061, QTY: 20
Telco, 2015-90048 QTY: 25
Telco, 2015-90112 QTY: 80</t>
  </si>
  <si>
    <t>23
Target:
JRT CS QTY: 215
Actual: 
SMT JRT SS QTY: 135
SMT Humanware PCBA-0123 CS QTY: 
Shipped: 
Telco, 2015-90113 QTY: 56
Telco, 2015-90132 QTY: 25
Telco, 2015-90114 QTY: 72</t>
  </si>
  <si>
    <t>2015-90055-1B-LF-WT</t>
  </si>
  <si>
    <t>Gonzales V1.3 (Assy 9470)</t>
  </si>
  <si>
    <t>06-24-2024</t>
  </si>
  <si>
    <t>ATS9352 V1.4, Sapin</t>
  </si>
  <si>
    <t>06-30-2024</t>
  </si>
  <si>
    <t>27
Target: 2015-90107 CS QTY: 25
Actual: 
Telco, 2015-90132 SS QTY: 25
Humanware, PCBA-0123 CS QTY: 
Shipped: 
DRS, 750-1261-04 QTY: 109</t>
  </si>
  <si>
    <t>2024172 Rev1</t>
  </si>
  <si>
    <t>29
Actual: 
SMT: Comlab, CMEXM QTY: 50 SS
Shipped: 
Humanware, PCBA-0123 QTY: 260
Humanware, PCBA-0124 QTY: 150</t>
  </si>
  <si>
    <t>28
Target: 2015-90107 CS QTY: 25
Actual: 
SMT: Humanware, PCBA: 0123 CS QTY: 100</t>
  </si>
  <si>
    <t>31
Actual: 
SMT: Humanware, PCBA-0124 CS QTY: 52</t>
  </si>
  <si>
    <t>30
Actual: 
SMT: Comlab, CMEXM QTY: 50 CS
SMT: Telco, 2015-90051 QTY: 40 PCS
Shipped: 
Carma, IO166 QTY: 37</t>
  </si>
  <si>
    <t>Dorval 1.2A</t>
  </si>
  <si>
    <t>07-04-2024</t>
  </si>
  <si>
    <t>5
Actual: 
SMT: Alazar, ATSTB3, SS QTY: 75
Shipped: 
Telco, 2015-90051 QTY: 84
JRT, B2B, QTY: 259</t>
  </si>
  <si>
    <t>04
Actual: 
JRT, B2B, QTY: 259
Humanware, PCBA-0124 CS QTY: 50
Shipped:
Carma, IO166, QTY: 80</t>
  </si>
  <si>
    <t>3
Actual: 
SMT, Humanware, FCBA-0028, QTY: 200
SMT, Telco, 2015-90051, QTY: 80
Shipped:
N/A</t>
  </si>
  <si>
    <t>WO#</t>
  </si>
  <si>
    <t>M-000534</t>
  </si>
  <si>
    <t>M-000538</t>
  </si>
  <si>
    <t>M-000540</t>
  </si>
  <si>
    <t>M-000539</t>
  </si>
  <si>
    <t>M-000535</t>
  </si>
  <si>
    <t>6
SMT: Alazar, ATSTB3, CS QTY: 75</t>
  </si>
  <si>
    <t>ATS4001 V1.2A, Halogen</t>
  </si>
  <si>
    <t>07-05-2024</t>
  </si>
  <si>
    <t>P17326</t>
  </si>
  <si>
    <t>2100-0074-2-P</t>
  </si>
  <si>
    <t>10
Actual: 
SMT, Gonzales CS QTY: 15
Shipped:</t>
  </si>
  <si>
    <t>11
Actual: 
Telco 2015-90132 CS QTY
Shipped: 
Humanware, PCBA-0125 QTY: 180
DRS, 750-1322-01 QTY: 36</t>
  </si>
  <si>
    <t>7
Actual
SMT: Alazar, Gonzales SS QTY: 15
Shipped: 
Vibro, 0STC-9128-071T3-306 QTY: 100
Vibro, 0STC-9128-24500-101 QTY: 100</t>
  </si>
  <si>
    <t>12
Actual: 
SMT, Alazar, ATS9374 SS QTY 50
Shipped:
Vibro, 9128-071T3-306, QTY: 100</t>
  </si>
  <si>
    <t>13
SMT: Alazar ATS9374 CS QTY: 50
Shipped: 
DRS, 714-156A QTY: 12</t>
  </si>
  <si>
    <t>0STC-9183-05CE0-102</t>
  </si>
  <si>
    <t>06-14-2024</t>
  </si>
  <si>
    <t>07-16-2024</t>
  </si>
  <si>
    <t>TB-2400122</t>
  </si>
  <si>
    <t>14
Actual:
SMT: Alazar, ATS9352 SS QTY: 60
Shipped:
Alazar, ATSTB3 V1.3E, Hercules QTY: 75</t>
  </si>
  <si>
    <t>17
Actual:
SMT: Alazar, ATS9352 CS QTY: 60
SMT: Telco, 2015-90107 SS QTY: 
Shipped: 
Carma, IO39, QTY: 62</t>
  </si>
  <si>
    <t>BX-17</t>
  </si>
  <si>
    <t>BX-13</t>
  </si>
  <si>
    <t>BX-32</t>
  </si>
  <si>
    <t>18
Actual: 
SMT: Telco 2015-90114 QTY: 108
SMT: Telco 2015-90113 QTY: 56
Shipped:
PCBA-0125 QTY: 20</t>
  </si>
  <si>
    <t>19
Actual: 
SMT: Telco 2015-90055 SS QTY: 25
Shipped:
Comlab, CMEXM QTY: 25</t>
  </si>
  <si>
    <t>SteamOvap</t>
  </si>
  <si>
    <t>PO0394</t>
  </si>
  <si>
    <t>IERPCB001 V3.2</t>
  </si>
  <si>
    <t>20
Actual: 
SMT: Telco 2015-90055 CS QTY: 25
SMT: Alazar Halogen SS QTY: 
Shipped: 
Humanware, PCBA-0123 QTY: 110</t>
  </si>
  <si>
    <t xml:space="preserve">21
Actual:
SMT, Alazar Halogen QYT: 25 SS
</t>
  </si>
  <si>
    <t>M-000541</t>
  </si>
  <si>
    <t>25
Actual: 
SMT: Alazar, Halogen CS QTY: 25
Shipped: 
Alazar, ATS9352 QTY: 60 
Alazar, Gonzales V1.3 (Assy 9470) QTY: 15
Comlab, Cmexm QTY: 25</t>
  </si>
  <si>
    <t xml:space="preserve">24
Saint-Jean Baptiste
</t>
  </si>
  <si>
    <t>1
Canada Day</t>
  </si>
  <si>
    <t>10
Kumar off</t>
  </si>
  <si>
    <t xml:space="preserve">11
Kumar off
</t>
  </si>
  <si>
    <t>3
Actual: 
SMT: 2015-90107 CS QTY: 35</t>
  </si>
  <si>
    <t>2
Actual: 
SMT: 2015-90107 CS QTY: 15
Shipped: 
Telco 2015-90055 QTY: 25
Telco 2015-90113 QTY: 56
Telco 2015-90132 QTY: 25</t>
  </si>
  <si>
    <t xml:space="preserve">4
Actual:
SMT: ISC, 2100-0117-2-P SS &amp; CS QTY: 30
</t>
  </si>
  <si>
    <t xml:space="preserve">26
Actual: 
SMT: Alazar, Dorval  QTY: 5 SS
Shipped: 
Alazar, ATS9874 QTY: 50 </t>
  </si>
  <si>
    <t>27
Actual: 
SMT: Alazar, Dorval  QTY: 5 SS</t>
  </si>
  <si>
    <t>28
SMT: Alazar, Dorval  QTY: 5 CS
SM: Telco, 2015-90114 QTY: 108</t>
  </si>
  <si>
    <t>5
Actual:
SMT: ISC, 2100-0074-2-P SS QTY: 30
SMT: ISC, 2100-0073-1 SS QTY: 8
Shipped: 
Telco, 2015-90107 QTY: 25</t>
  </si>
  <si>
    <t>8
Actual: 
SMT, ISC, 2100-0073-1 QTY: 8 CS
SMT, ISC, 2100-0074-2 QTY: 30 CS
Shipped: 
Alazar, Dorval 1.2A QTY: 5
Carma, IO39 QTY: 133
Vibro, 0STC-9128-071T3-306 QTY: 150</t>
  </si>
  <si>
    <t>10-14-2024</t>
  </si>
  <si>
    <t>ADP118553</t>
  </si>
  <si>
    <t>210-451395-002-R</t>
  </si>
  <si>
    <t>10-01-2024</t>
  </si>
  <si>
    <t>ADP118554</t>
  </si>
  <si>
    <t>210-451394-002-R</t>
  </si>
  <si>
    <t>12
Kumar off
Shipped: 
Carma, IO166 QTY: 88</t>
  </si>
  <si>
    <t xml:space="preserve">9
Kumar Off
</t>
  </si>
  <si>
    <t>16
Actual: 
SMT: Vibro 0STC-9183-05CE0-102 QTY : 100 SS</t>
  </si>
  <si>
    <t>18
Yehia Off
Actual: 
SMT: Vibro 0STC-9183-05CE0-102 QTY : 80 CS
Shipped: 
Vibro, 0STC-9183-05CE0-102 QTY: 100
Vibro, 0STC-9128-071T3-306 QTY: 50
JRT, JRT-INT-04-V8 QTY: 86</t>
  </si>
  <si>
    <t>17
Yehia off
Actual: 
SMT: Vibro 0STC-9183-05CE0-102 QTY : 20 CS</t>
  </si>
  <si>
    <t xml:space="preserve">19
Yehia Off
Last day before 2 weeks construction vacation
</t>
  </si>
  <si>
    <t>Gonzales V1.3 Fast</t>
  </si>
  <si>
    <t>08-25-2024</t>
  </si>
  <si>
    <t>08-22-2024</t>
  </si>
  <si>
    <t>ATS9373 V1.7 Red Split Gnd</t>
  </si>
  <si>
    <t>9121-071TG-110</t>
  </si>
  <si>
    <t>08-06-2024</t>
  </si>
  <si>
    <t>003940001-003940250</t>
  </si>
  <si>
    <t>10-05-2024</t>
  </si>
  <si>
    <t>ATS9371 V1.9</t>
  </si>
  <si>
    <t>ATS9371 V1.9-PL</t>
  </si>
  <si>
    <t>ATS9373 V1.9</t>
  </si>
  <si>
    <t>09-05-2024</t>
  </si>
  <si>
    <t>30-0100-00-UC</t>
  </si>
  <si>
    <t>08-08-2024</t>
  </si>
  <si>
    <t>M-000542</t>
  </si>
  <si>
    <t>M-000546</t>
  </si>
  <si>
    <t>M-000537</t>
  </si>
  <si>
    <t>M-000543</t>
  </si>
  <si>
    <t>M-000544</t>
  </si>
  <si>
    <t>M-000545</t>
  </si>
  <si>
    <t>BYO0394-1</t>
  </si>
  <si>
    <t>BE13418-1</t>
  </si>
  <si>
    <t>M-000547</t>
  </si>
  <si>
    <t>S18553-1</t>
  </si>
  <si>
    <t>S18554-1</t>
  </si>
  <si>
    <t>BI14071-1</t>
  </si>
  <si>
    <t>BI14071-2</t>
  </si>
  <si>
    <t>CE04330-1</t>
  </si>
  <si>
    <t>CE04330-2</t>
  </si>
  <si>
    <t>P17417</t>
  </si>
  <si>
    <t>2100-0130-6-P</t>
  </si>
  <si>
    <t>2100-0130-2-P</t>
  </si>
  <si>
    <t>July</t>
  </si>
  <si>
    <t>June</t>
  </si>
  <si>
    <t>MAY</t>
  </si>
  <si>
    <t>August</t>
  </si>
  <si>
    <t>6
Shipped: 
0STC-9128-071T3-306</t>
  </si>
  <si>
    <t>8
Actual: 
SMT: SteamOvap, IER, QTY: 250</t>
  </si>
  <si>
    <t>9
Actual
SMT: Alazar, Gonzales V1.3 Fast QTY: 15 SS</t>
  </si>
  <si>
    <t>542001-542015</t>
  </si>
  <si>
    <t xml:space="preserve">13
Actual: 
SMT: SteamOvap, STM32 QTY: 
Shipped: 
</t>
  </si>
  <si>
    <t>12
Actual
SMT: Alazar, Gonzales V1.3 Fast QTY: 15 SS
Shipped: 
DRS, 66518 714-156A QTY: 80</t>
  </si>
  <si>
    <t>14
Actual: 
SMT: Alazar 
Shipped: 
JRT, INT-04 QTY 129</t>
  </si>
  <si>
    <t>981253-981262</t>
  </si>
  <si>
    <t>880677-880776</t>
  </si>
  <si>
    <t>134180001-134180030</t>
  </si>
  <si>
    <t>140710001-140710025</t>
  </si>
  <si>
    <t>140710026-140710050</t>
  </si>
  <si>
    <t>043300001-043300105</t>
  </si>
  <si>
    <t>043300106-043300210</t>
  </si>
  <si>
    <t>P17418</t>
  </si>
  <si>
    <t>AT17417-1</t>
  </si>
  <si>
    <t>AT17418-1</t>
  </si>
  <si>
    <t>174170001-174170010</t>
  </si>
  <si>
    <t>174180001-174180005</t>
  </si>
  <si>
    <t>243240001-243240024</t>
  </si>
  <si>
    <t>233591-234090</t>
  </si>
  <si>
    <t>15
Actual
SMT: Alazar ATS QTY :100</t>
  </si>
  <si>
    <t>0STC-9183-153N0-111</t>
  </si>
  <si>
    <t>0STC-9183-20N26-120</t>
  </si>
  <si>
    <t>P17422</t>
  </si>
  <si>
    <t>2100-0079-1-P</t>
  </si>
  <si>
    <t>P17430</t>
  </si>
  <si>
    <t>2100-0077-5-P</t>
  </si>
  <si>
    <t>P17431</t>
  </si>
  <si>
    <t>2100-0105-1-P</t>
  </si>
  <si>
    <t>P17425</t>
  </si>
  <si>
    <t>2100-0142-3-P</t>
  </si>
  <si>
    <t>10-15-2024</t>
  </si>
  <si>
    <t>P17427</t>
  </si>
  <si>
    <t>2100-0146-5-P</t>
  </si>
  <si>
    <t>21
Actual: 
SMT: Alazar 
Shipped: 
Carma, IO166 QTY: 109</t>
  </si>
  <si>
    <t>20
Actual: 
SMT: Alazar 
Shipped: 
Carma, IO84 QTY: 550</t>
  </si>
  <si>
    <t>22
Actual: 
SMT: Alazar 
Shipped: 
Alazar, 30-0100-00-UC QTY: 24</t>
  </si>
  <si>
    <t>19
Actual: 
SMT: Alazar 
Shipped: 
UgoWork, 1220-0003-01 QTY: 200</t>
  </si>
  <si>
    <t>AT17422-1</t>
  </si>
  <si>
    <t>AT17430-1</t>
  </si>
  <si>
    <t>AT17431-1</t>
  </si>
  <si>
    <t>AT17425-1</t>
  </si>
  <si>
    <t>AT17427-1</t>
  </si>
  <si>
    <t>BE13441-</t>
  </si>
  <si>
    <t>0STC-9183-20N27-120</t>
  </si>
  <si>
    <t>ATS9442 V1.2</t>
  </si>
  <si>
    <t>09-21-2024</t>
  </si>
  <si>
    <t>CDVI</t>
  </si>
  <si>
    <t>CDVI KB</t>
  </si>
  <si>
    <t>CDVI master</t>
  </si>
  <si>
    <t>10-08-2024</t>
  </si>
  <si>
    <t>P17446</t>
  </si>
  <si>
    <t>2100-0077-3-P</t>
  </si>
  <si>
    <t>P17444</t>
  </si>
  <si>
    <t>2100-0077-4-P</t>
  </si>
  <si>
    <t>ATSC2P3X8</t>
  </si>
  <si>
    <t>09-26-2024</t>
  </si>
  <si>
    <t>ATS9364-Galvo V1.1, DUAL-DAC-MODULE</t>
  </si>
  <si>
    <t>SyncX2/9870 V1.2</t>
  </si>
  <si>
    <t>09-28-2024</t>
  </si>
  <si>
    <t>Halogen-Stimulus</t>
  </si>
  <si>
    <t>M-000549</t>
  </si>
  <si>
    <t>M-000551</t>
  </si>
  <si>
    <t>M-000552</t>
  </si>
  <si>
    <t>M-000553</t>
  </si>
  <si>
    <t>M-000548</t>
  </si>
  <si>
    <t>AT17446-1</t>
  </si>
  <si>
    <t>AT17444-1</t>
  </si>
  <si>
    <t>0STC-9183-29000-111</t>
  </si>
  <si>
    <t>0STC-9183-20AL0-103</t>
  </si>
  <si>
    <t>09-10-2024</t>
  </si>
  <si>
    <t>BE13470-1</t>
  </si>
  <si>
    <t>BE13470-2</t>
  </si>
  <si>
    <t>BE-27</t>
  </si>
  <si>
    <t>BE-20</t>
  </si>
  <si>
    <t>S-32</t>
  </si>
  <si>
    <t>S-33</t>
  </si>
  <si>
    <t>TB-2400176</t>
  </si>
  <si>
    <t>Telcobridges</t>
  </si>
  <si>
    <t>2015-90012-1BA-LF-WT</t>
  </si>
  <si>
    <t>10-30-2024</t>
  </si>
  <si>
    <t>ATS9120 V1.3A</t>
  </si>
  <si>
    <t>CK05449-1</t>
  </si>
  <si>
    <t>CK05449-2</t>
  </si>
  <si>
    <t>054490001-054490100</t>
  </si>
  <si>
    <t>054490101-054490200</t>
  </si>
  <si>
    <t>M-000559</t>
  </si>
  <si>
    <t>850262-850306</t>
  </si>
  <si>
    <t>M-000536</t>
  </si>
  <si>
    <t>941709-941758</t>
  </si>
  <si>
    <t>P17507</t>
  </si>
  <si>
    <t>P17506</t>
  </si>
  <si>
    <t>P17482</t>
  </si>
  <si>
    <t>ATST364 V1.1, Merengue</t>
  </si>
  <si>
    <t>2100-0139-1-P CFG B</t>
  </si>
  <si>
    <t>2100-0179-2-P CFG A</t>
  </si>
  <si>
    <t>2100-0109-1-P CFG A</t>
  </si>
  <si>
    <t>P17514</t>
  </si>
  <si>
    <t>P17513</t>
  </si>
  <si>
    <t>2100-0174-1-P</t>
  </si>
  <si>
    <t>2100-0174-3-P</t>
  </si>
  <si>
    <t>BX12-176</t>
  </si>
  <si>
    <t>BX15-176</t>
  </si>
  <si>
    <t>BX14-176</t>
  </si>
  <si>
    <t>BX19-176</t>
  </si>
  <si>
    <t>BX11-176</t>
  </si>
  <si>
    <t>BX30-176</t>
  </si>
  <si>
    <t>M-000561</t>
  </si>
  <si>
    <t>AS236-561001 - AS236-561010</t>
  </si>
  <si>
    <t>ATS9442 V1.3</t>
  </si>
  <si>
    <t>Introspect</t>
  </si>
  <si>
    <t>102570 Rev01.0</t>
  </si>
  <si>
    <t>P17423</t>
  </si>
  <si>
    <t>2100-0142-4-P</t>
  </si>
  <si>
    <t>P17426</t>
  </si>
  <si>
    <t>P17515</t>
  </si>
  <si>
    <t>Dorval V1.5</t>
  </si>
  <si>
    <t>P17518</t>
  </si>
  <si>
    <t>2100-0132-2-P</t>
  </si>
  <si>
    <t>P17516</t>
  </si>
  <si>
    <t>ATS9371-PL-V1.9</t>
  </si>
  <si>
    <t>ATS9182 V1.0</t>
  </si>
  <si>
    <t>P17530</t>
  </si>
  <si>
    <t>M-000563</t>
  </si>
  <si>
    <t>M-000564</t>
  </si>
  <si>
    <t>M-000562</t>
  </si>
  <si>
    <t>M-000558</t>
  </si>
  <si>
    <t>AS230-315001
AS230-315050</t>
  </si>
  <si>
    <t>AS237-309001
AS237-309005</t>
  </si>
  <si>
    <t>AS193-326001
AS193-326025</t>
  </si>
  <si>
    <t>P17533</t>
  </si>
  <si>
    <t>PO21239</t>
  </si>
  <si>
    <t>PCB Assembly and Test Labour for PCB for Bracket (order #1)
E-FG-PM-00ELECTRICITY</t>
  </si>
  <si>
    <t>PCB Assembly and Test Labour for Board #2A (Combiner RJ-45)
E-FG-PM-00ELECTRICITY</t>
  </si>
  <si>
    <t>PCB Assembly and Test Labour for Board #2B (Combiner RJ-45) 
E-FG-PM-00ELECTRICITY</t>
  </si>
  <si>
    <t>PCB Assembly and Test Labour for Board #3 (Combiner Resistor)
E-FG-PM-00ELECTRICITY</t>
  </si>
  <si>
    <t>Orthogone</t>
  </si>
  <si>
    <t>Assembly of BK-DAQ</t>
  </si>
  <si>
    <t>CDTPI-ASSY</t>
  </si>
  <si>
    <t>AS229-316001
AS229-316020</t>
  </si>
  <si>
    <t>BI14176-1</t>
  </si>
  <si>
    <t>2100-0202-1-P CFG B</t>
  </si>
  <si>
    <t>2100-0200-1-P CFG A</t>
  </si>
  <si>
    <t>TB-2400223</t>
  </si>
  <si>
    <t>AT165-516001
AT165-516005</t>
  </si>
  <si>
    <t>AT165-516006
AT165-516015</t>
  </si>
  <si>
    <t>2100-0143-1-P CFG B</t>
  </si>
  <si>
    <t>AT161-515001
AT161-515005</t>
  </si>
  <si>
    <t>AT161-515006
AT161-515014</t>
  </si>
  <si>
    <t>AT8-533001
AT8-533085</t>
  </si>
  <si>
    <t>AT8-533086
AT8-533170</t>
  </si>
  <si>
    <t>10259-00.0-Chassis Probe Type-C</t>
  </si>
  <si>
    <t>P17522</t>
  </si>
  <si>
    <t>P17564</t>
  </si>
  <si>
    <t>P17549</t>
  </si>
  <si>
    <t>P17561</t>
  </si>
  <si>
    <t>P17562</t>
  </si>
  <si>
    <t>P17574</t>
  </si>
  <si>
    <t>P17573</t>
  </si>
  <si>
    <t>2100-0114-1-P CFG: C</t>
  </si>
  <si>
    <t>2100-0114-2-P CFG: A</t>
  </si>
  <si>
    <t>P17545</t>
  </si>
  <si>
    <t>2100-0072-3-P CFG: A</t>
  </si>
  <si>
    <t>2100-0072-1-P CFG: G</t>
  </si>
  <si>
    <t>P17563</t>
  </si>
  <si>
    <t>P17521</t>
  </si>
  <si>
    <t>P17602</t>
  </si>
  <si>
    <t>2100-0118-4-P CFG: A</t>
  </si>
  <si>
    <t>2100-0073-1-P CFG: G</t>
  </si>
  <si>
    <t>2100-0074-2-P CFG: D</t>
  </si>
  <si>
    <t>2100-0130-1-P CFG: D</t>
  </si>
  <si>
    <t>2100-0071-4-P CFG: B</t>
  </si>
  <si>
    <t>2100-0088-1-P CFG: E</t>
  </si>
  <si>
    <t>2100-0132-1-P CFG: C</t>
  </si>
  <si>
    <t>2100-0178-3-P CFG: A</t>
  </si>
  <si>
    <t>2100-0201-1-P CFG: A</t>
  </si>
  <si>
    <t>2100-0146-5-P CFG: D</t>
  </si>
  <si>
    <t>2100-0073-3-P CFG: D</t>
  </si>
  <si>
    <t>Dalsa</t>
  </si>
  <si>
    <t>WL-GEV0-PLUSBA1</t>
  </si>
  <si>
    <t>ZPU-DAQ4</t>
  </si>
  <si>
    <t>2100-0109-1-P</t>
  </si>
  <si>
    <t>2100-0073-3-P</t>
  </si>
  <si>
    <t>2100-0118-2-P</t>
  </si>
  <si>
    <t>Trolly#</t>
  </si>
  <si>
    <t>112620-01.0</t>
  </si>
  <si>
    <t>P17622</t>
  </si>
  <si>
    <t>Mircom</t>
  </si>
  <si>
    <t>MD1377R01</t>
  </si>
  <si>
    <t>AS189-016</t>
  </si>
  <si>
    <t>BQ17-859</t>
  </si>
  <si>
    <t>AT7-545</t>
  </si>
  <si>
    <t>AT170-545</t>
  </si>
  <si>
    <t>AT66-573</t>
  </si>
  <si>
    <t>AT146-574</t>
  </si>
  <si>
    <t>AT23-564</t>
  </si>
  <si>
    <t>M-000568</t>
  </si>
  <si>
    <t>AS231-024</t>
  </si>
  <si>
    <t>M-000569</t>
  </si>
  <si>
    <t>BR28-619</t>
  </si>
  <si>
    <t>2100-0105-1-P CFG: A</t>
  </si>
  <si>
    <t>2100-0190-1-P CFG: D</t>
  </si>
  <si>
    <t>AT135-564</t>
  </si>
  <si>
    <t xml:space="preserve">0STC-9138-01712-401 </t>
  </si>
  <si>
    <t>112705-00.0</t>
  </si>
  <si>
    <t>P17640</t>
  </si>
  <si>
    <t>2100-0143-1-P CFG: B</t>
  </si>
  <si>
    <t>ATSx872 V1.4</t>
  </si>
  <si>
    <t>Bronx</t>
  </si>
  <si>
    <t>BQ18-865</t>
  </si>
  <si>
    <t>ATS9364 V1.5</t>
  </si>
  <si>
    <t>ATS9362 V1.5</t>
  </si>
  <si>
    <t>Harlem</t>
  </si>
  <si>
    <t>AT154-561</t>
  </si>
  <si>
    <t>AT102-522</t>
  </si>
  <si>
    <t>AT164-562</t>
  </si>
  <si>
    <t>2015-90012-1BA</t>
  </si>
  <si>
    <t>2015-90041-2H</t>
  </si>
  <si>
    <t>2015-90047-3B</t>
  </si>
  <si>
    <t>2015-90048-3M</t>
  </si>
  <si>
    <t>2015-90051-1B</t>
  </si>
  <si>
    <t>2015-90055-1B</t>
  </si>
  <si>
    <t>2015-90058-1C</t>
  </si>
  <si>
    <t>2015-90061-2A</t>
  </si>
  <si>
    <t>2015-90107-2DA</t>
  </si>
  <si>
    <t>2015-90113-2A</t>
  </si>
  <si>
    <t>2015-90114-2B</t>
  </si>
  <si>
    <t>2015-90132-1CA</t>
  </si>
  <si>
    <t>2015-90133-1C</t>
  </si>
  <si>
    <t>2015-90049-2A</t>
  </si>
  <si>
    <t>AI33-979</t>
  </si>
  <si>
    <t>Additional Notes</t>
  </si>
  <si>
    <t>P17668</t>
  </si>
  <si>
    <t>2100-0076-1-P</t>
  </si>
  <si>
    <t>112236-02.1</t>
  </si>
  <si>
    <t>102625-00.0</t>
  </si>
  <si>
    <t>PO21610</t>
  </si>
  <si>
    <t>ASSEMBLY OF COMBINER METER BOARDS</t>
  </si>
  <si>
    <t>BK-CTRL</t>
  </si>
  <si>
    <t>ZPU-CTRL</t>
  </si>
  <si>
    <t>ATS4001-Halogen, V1.2D</t>
  </si>
  <si>
    <t>P17687</t>
  </si>
  <si>
    <t>2100-0196-3-P</t>
  </si>
  <si>
    <t>FILTER-SWITCHBOX-CONTROLLER ASSY</t>
  </si>
  <si>
    <t>AS226-082</t>
  </si>
  <si>
    <t xml:space="preserve">0STC-9119-09P50-136 </t>
  </si>
  <si>
    <t>102715-00.0</t>
  </si>
  <si>
    <t>112520-01.0</t>
  </si>
  <si>
    <t>ADP120592</t>
  </si>
  <si>
    <t>ADP120593</t>
  </si>
  <si>
    <t>0STC-9119-09P50-207</t>
  </si>
  <si>
    <t>ATS9428</t>
  </si>
  <si>
    <t>AS236-032</t>
  </si>
  <si>
    <t>AS238-052</t>
  </si>
  <si>
    <t>AS208-070</t>
  </si>
  <si>
    <t>AS189-113</t>
  </si>
  <si>
    <t>Brooklyn V1.1</t>
  </si>
  <si>
    <t>Brooklyn V1.2</t>
  </si>
  <si>
    <t>AS242-083</t>
  </si>
  <si>
    <t>Dorval V1.6</t>
  </si>
  <si>
    <t>P17741</t>
  </si>
  <si>
    <t>P17727</t>
  </si>
  <si>
    <t>ATS9416 V1.4A</t>
  </si>
  <si>
    <t>Blazer Sync 2x-W</t>
  </si>
  <si>
    <t>AS243-121</t>
  </si>
  <si>
    <t>AS244-121</t>
  </si>
  <si>
    <t>8184-20D10-100</t>
  </si>
  <si>
    <t>P17771</t>
  </si>
  <si>
    <t>2100-0079-1-P CFG: B</t>
  </si>
  <si>
    <t>2100-0142-3-P CFG: A</t>
  </si>
  <si>
    <t>2100-0179-2-P CFG: A</t>
  </si>
  <si>
    <t>2100-0200-1-P CFG: A</t>
  </si>
  <si>
    <t>2100-0202-1-P CFG: B</t>
  </si>
  <si>
    <t>ATS9362- Neon AD800/AD95-4</t>
  </si>
  <si>
    <t>102501-01.0</t>
  </si>
  <si>
    <t>AS245-125</t>
  </si>
  <si>
    <t>AS119-134</t>
  </si>
  <si>
    <t>AS241-138</t>
  </si>
  <si>
    <t>AS230-139</t>
  </si>
  <si>
    <t>AS64-054</t>
  </si>
  <si>
    <t>centum</t>
  </si>
  <si>
    <t>DTR2000028841</t>
  </si>
  <si>
    <t>CAC2504SIE0100001</t>
  </si>
  <si>
    <t>0STC-9183-20N27-100</t>
  </si>
  <si>
    <t>PO08623</t>
  </si>
  <si>
    <t>AS241-152</t>
  </si>
  <si>
    <t>TelcoBridge</t>
  </si>
  <si>
    <t>PO-2500488</t>
  </si>
  <si>
    <t>2100-0077-4-P CFG: B</t>
  </si>
  <si>
    <t>2100-0077-5-P CFG: B</t>
  </si>
  <si>
    <t>AT32-727</t>
  </si>
  <si>
    <t>AT52-727</t>
  </si>
  <si>
    <t>ATS9364 V1.5, Neon</t>
  </si>
  <si>
    <t xml:space="preserve">0STC-9111-09PT4-203 </t>
  </si>
  <si>
    <t>Gonzales V1.3</t>
  </si>
  <si>
    <t>2100-0141-1-P CFG: B</t>
  </si>
  <si>
    <t>04-2026-004 Rev 04</t>
  </si>
  <si>
    <t>AT97-727</t>
  </si>
  <si>
    <t>AT164-771</t>
  </si>
  <si>
    <t>AT2-741</t>
  </si>
  <si>
    <t>HOLD</t>
  </si>
  <si>
    <t>ATS9373-A3, ECO-2015-144</t>
  </si>
  <si>
    <t>ATS9373 A3, V1.9</t>
  </si>
  <si>
    <t>ADP121039</t>
  </si>
  <si>
    <t>210-451221-001</t>
  </si>
  <si>
    <t>PO-2500507</t>
  </si>
  <si>
    <t>PO-2500492-1</t>
  </si>
  <si>
    <t>2015-90209-2A</t>
  </si>
  <si>
    <t>102125-01</t>
  </si>
  <si>
    <t>AS204-168</t>
  </si>
  <si>
    <t>PO-2500509</t>
  </si>
  <si>
    <t>2015-90112-1A</t>
  </si>
  <si>
    <t xml:space="preserve">0STC-9183-20N21-100 </t>
  </si>
  <si>
    <t xml:space="preserve">0STC-9183-24D28-111 </t>
  </si>
  <si>
    <t>2100-0130-2-P CFG: A</t>
  </si>
  <si>
    <t>P17852</t>
  </si>
  <si>
    <t>CH0001121 - CH0001270</t>
  </si>
  <si>
    <t>ZPU-PD Rev.A</t>
  </si>
  <si>
    <t xml:space="preserve"> WL-GEV0-PLUSBA1</t>
  </si>
  <si>
    <t>102570-Rev01.0</t>
  </si>
  <si>
    <t>P17863</t>
  </si>
  <si>
    <t>P17873</t>
  </si>
  <si>
    <t>2100-0117-2-P CFG: A</t>
  </si>
  <si>
    <t>ATS9353 V1.4A</t>
  </si>
  <si>
    <t>ATS9373</t>
  </si>
  <si>
    <t>PO-2500531</t>
  </si>
  <si>
    <t>PO-2500541</t>
  </si>
  <si>
    <t>9183-20900-101</t>
  </si>
  <si>
    <t xml:space="preserve">2100-0072-1-P CFG: </t>
  </si>
  <si>
    <t>ADP121274</t>
  </si>
  <si>
    <t>ADP121275</t>
  </si>
  <si>
    <t>ATST364 V1.1A, Merengue</t>
  </si>
  <si>
    <t>Gonzales 1.3 Fast</t>
  </si>
  <si>
    <t>ATS9872 V1.4A</t>
  </si>
  <si>
    <t>102751-00.0</t>
  </si>
  <si>
    <t xml:space="preserve">Brooklyn V1.3A, With ADC12D5200 4 boards
With CPLD 10M08SCU169C8G 4 bds prog U19
With CPLD 10M16SAU169C8G 4 bds prog U38
</t>
  </si>
  <si>
    <t>Brooklyn V1.3A, With MXT2023 1 bd
With 2 10M08SCU169C8G blank U19 and U38</t>
  </si>
  <si>
    <t>PO-2500560</t>
  </si>
  <si>
    <t>ATS9462 V1.5D</t>
  </si>
  <si>
    <t xml:space="preserve">0STC-9183-29000-111 </t>
  </si>
  <si>
    <t xml:space="preserve">0STC-9128-24500-101 </t>
  </si>
  <si>
    <t>ASSY-9371-PL-V1.9, Please install ADC12D2000</t>
  </si>
  <si>
    <t>PO-2500570</t>
  </si>
  <si>
    <t>102220-05</t>
  </si>
  <si>
    <t>ASSY-SYNC-BOX-4X1G, 0800308</t>
  </si>
  <si>
    <t>ASSY-HALONGEN-FBC</t>
  </si>
  <si>
    <t>PO-2500583</t>
  </si>
  <si>
    <t>Gonzales V1.3 Fast, Verification</t>
  </si>
  <si>
    <t>TDK Module V1.0</t>
  </si>
  <si>
    <t>Dorval</t>
  </si>
  <si>
    <t>PO-2500596</t>
  </si>
  <si>
    <t>PO-2500600</t>
  </si>
  <si>
    <t>P17944</t>
  </si>
  <si>
    <t>2100-0139-1-P</t>
  </si>
  <si>
    <t>2100-0204-2-P</t>
  </si>
  <si>
    <t>Tetra</t>
  </si>
  <si>
    <t>AT7-881</t>
  </si>
  <si>
    <t>102754-00.1</t>
  </si>
  <si>
    <t>BX20-583</t>
  </si>
  <si>
    <t>BX18-583</t>
  </si>
  <si>
    <t>BX12-596</t>
  </si>
  <si>
    <t>BX15-596</t>
  </si>
  <si>
    <t>BX19-600</t>
  </si>
  <si>
    <t>BE20-017</t>
  </si>
  <si>
    <t>BE89-962</t>
  </si>
  <si>
    <t>AS204-286</t>
  </si>
  <si>
    <t>AS248-295</t>
  </si>
  <si>
    <t>AS229-266</t>
  </si>
  <si>
    <t xml:space="preserve">0STC-9183-153N0-111 </t>
  </si>
  <si>
    <t>JRT-TEST-RED100-V2</t>
  </si>
  <si>
    <t>PO22616</t>
  </si>
  <si>
    <t>IO84</t>
  </si>
  <si>
    <t>P17881</t>
  </si>
  <si>
    <t>AS189-317</t>
  </si>
  <si>
    <t>ATS9352 V1.4E</t>
  </si>
  <si>
    <t>BE24-041</t>
  </si>
  <si>
    <t xml:space="preserve">0STC-9183-20N2C-100 </t>
  </si>
  <si>
    <t>ATS9416 V1.30B</t>
  </si>
  <si>
    <t>AS119-324</t>
  </si>
  <si>
    <t>AS249-282</t>
  </si>
  <si>
    <t>AS247-280</t>
  </si>
  <si>
    <t>BQ27-012</t>
  </si>
  <si>
    <t>BQ26-994</t>
  </si>
  <si>
    <t>AS250-297</t>
  </si>
  <si>
    <t>BE22-048</t>
  </si>
  <si>
    <t>PO-2500618</t>
  </si>
  <si>
    <t>BX11-618</t>
  </si>
  <si>
    <t>ATS4001 V1.2E, Halogen</t>
  </si>
  <si>
    <t>AT174-944</t>
  </si>
  <si>
    <t>AS226-336</t>
  </si>
  <si>
    <t>ABCD</t>
  </si>
  <si>
    <t>WO123</t>
  </si>
  <si>
    <t>ASSEMBLY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</si>
</sst>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[$-F800]dddd\,\ mmmm\ dd\,\ yyyy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4" tint="-0.24994659260841701"/>
      <name val="Calibri Light"/>
      <family val="1"/>
      <scheme val="major"/>
    </font>
    <font>
      <sz val="1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rgb="FFFF0000"/>
      <name val="Calibri"/>
      <family val="2"/>
      <scheme val="minor"/>
    </font>
    <font>
      <sz val="28"/>
      <name val="Calibri"/>
      <family val="2"/>
      <scheme val="minor"/>
    </font>
    <font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4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theme="9" tint="0.5999633777886288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4" applyNumberFormat="0" applyFill="0" applyAlignment="0" applyProtection="0"/>
    <xf numFmtId="164" fontId="7" fillId="0" borderId="0">
      <alignment horizontal="left" indent="1"/>
    </xf>
    <xf numFmtId="0" fontId="8" fillId="0" borderId="0">
      <alignment horizontal="left" indent="1"/>
    </xf>
    <xf numFmtId="0" fontId="9" fillId="15" borderId="0" applyNumberFormat="0" applyFont="0" applyBorder="0" applyAlignment="0">
      <alignment horizontal="left" vertical="center" indent="1"/>
    </xf>
  </cellStyleXfs>
  <cellXfs count="80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5" fillId="0" borderId="0" xfId="0" applyFont="1"/>
    <xf numFmtId="0" fontId="10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top"/>
    </xf>
    <xf numFmtId="0" fontId="10" fillId="2" borderId="0" xfId="0" applyFont="1" applyFill="1" applyAlignment="1">
      <alignment horizontal="center"/>
    </xf>
    <xf numFmtId="0" fontId="13" fillId="2" borderId="2" xfId="21" applyFont="1" applyFill="1" applyBorder="1" applyAlignment="1">
      <alignment horizontal="center" vertical="center"/>
    </xf>
    <xf numFmtId="164" fontId="14" fillId="2" borderId="6" xfId="22" applyFont="1" applyFill="1" applyBorder="1" applyAlignment="1">
      <alignment horizontal="center" vertical="top"/>
    </xf>
    <xf numFmtId="0" fontId="13" fillId="16" borderId="1" xfId="21" applyFont="1" applyFill="1" applyBorder="1" applyAlignment="1">
      <alignment horizontal="center" vertical="center"/>
    </xf>
    <xf numFmtId="164" fontId="14" fillId="2" borderId="1" xfId="22" applyFont="1" applyFill="1" applyBorder="1" applyAlignment="1">
      <alignment horizontal="center" vertical="top" wrapText="1"/>
    </xf>
    <xf numFmtId="0" fontId="0" fillId="2" borderId="0" xfId="0" applyFill="1" applyAlignment="1">
      <alignment horizontal="center" vertical="top"/>
    </xf>
    <xf numFmtId="164" fontId="16" fillId="17" borderId="1" xfId="22" applyFont="1" applyFill="1" applyBorder="1" applyAlignment="1">
      <alignment horizontal="center" vertical="top" wrapText="1"/>
    </xf>
    <xf numFmtId="0" fontId="17" fillId="17" borderId="5" xfId="0" applyFont="1" applyFill="1" applyBorder="1" applyAlignment="1">
      <alignment horizontal="center" vertical="top" wrapText="1"/>
    </xf>
    <xf numFmtId="0" fontId="18" fillId="2" borderId="5" xfId="0" applyFont="1" applyFill="1" applyBorder="1" applyAlignment="1">
      <alignment horizontal="center" vertical="top" wrapText="1"/>
    </xf>
    <xf numFmtId="0" fontId="14" fillId="2" borderId="5" xfId="0" applyFont="1" applyFill="1" applyBorder="1" applyAlignment="1">
      <alignment horizontal="center" vertical="top" wrapText="1"/>
    </xf>
    <xf numFmtId="0" fontId="14" fillId="2" borderId="5" xfId="0" quotePrefix="1" applyFont="1" applyFill="1" applyBorder="1" applyAlignment="1">
      <alignment horizontal="center" vertical="top" wrapText="1"/>
    </xf>
    <xf numFmtId="0" fontId="15" fillId="2" borderId="5" xfId="0" applyFont="1" applyFill="1" applyBorder="1" applyAlignment="1">
      <alignment horizontal="center" vertical="top"/>
    </xf>
    <xf numFmtId="0" fontId="14" fillId="2" borderId="5" xfId="0" applyFont="1" applyFill="1" applyBorder="1" applyAlignment="1">
      <alignment horizontal="center" vertical="top"/>
    </xf>
    <xf numFmtId="0" fontId="21" fillId="2" borderId="5" xfId="0" applyFont="1" applyFill="1" applyBorder="1" applyAlignment="1">
      <alignment horizontal="center" vertical="top" wrapText="1"/>
    </xf>
    <xf numFmtId="0" fontId="22" fillId="18" borderId="5" xfId="0" applyFont="1" applyFill="1" applyBorder="1" applyAlignment="1">
      <alignment horizontal="center" vertical="top" wrapText="1"/>
    </xf>
    <xf numFmtId="0" fontId="22" fillId="18" borderId="5" xfId="0" applyFont="1" applyFill="1" applyBorder="1" applyAlignment="1">
      <alignment horizontal="center" vertical="top"/>
    </xf>
    <xf numFmtId="0" fontId="0" fillId="0" borderId="9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3" fillId="19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textRotation="255"/>
    </xf>
    <xf numFmtId="0" fontId="5" fillId="0" borderId="8" xfId="0" applyFont="1" applyBorder="1" applyAlignment="1">
      <alignment textRotation="255"/>
    </xf>
    <xf numFmtId="0" fontId="5" fillId="0" borderId="5" xfId="0" applyFont="1" applyBorder="1" applyAlignment="1">
      <alignment textRotation="255"/>
    </xf>
    <xf numFmtId="164" fontId="14" fillId="2" borderId="6" xfId="22" applyFont="1" applyFill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17" fontId="10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19" fillId="0" borderId="7" xfId="0" applyFont="1" applyBorder="1" applyAlignment="1">
      <alignment vertical="center" textRotation="255"/>
    </xf>
    <xf numFmtId="0" fontId="19" fillId="0" borderId="8" xfId="0" applyFont="1" applyBorder="1" applyAlignment="1">
      <alignment vertical="center" textRotation="255"/>
    </xf>
    <xf numFmtId="0" fontId="19" fillId="0" borderId="5" xfId="0" applyFont="1" applyBorder="1" applyAlignment="1">
      <alignment vertical="center" textRotation="255"/>
    </xf>
    <xf numFmtId="0" fontId="20" fillId="0" borderId="7" xfId="0" applyFont="1" applyBorder="1" applyAlignment="1">
      <alignment horizontal="center" vertical="center" textRotation="255"/>
    </xf>
    <xf numFmtId="0" fontId="20" fillId="0" borderId="8" xfId="0" applyFont="1" applyBorder="1" applyAlignment="1">
      <alignment horizontal="center" vertical="center" textRotation="255"/>
    </xf>
    <xf numFmtId="0" fontId="20" fillId="0" borderId="5" xfId="0" applyFont="1" applyBorder="1" applyAlignment="1">
      <alignment horizontal="center" vertical="center" textRotation="255"/>
    </xf>
    <xf numFmtId="0" fontId="20" fillId="0" borderId="7" xfId="0" applyFont="1" applyBorder="1" applyAlignment="1">
      <alignment vertical="center" textRotation="255"/>
    </xf>
    <xf numFmtId="0" fontId="20" fillId="0" borderId="8" xfId="0" applyFont="1" applyBorder="1" applyAlignment="1">
      <alignment vertical="center" textRotation="255"/>
    </xf>
    <xf numFmtId="0" fontId="20" fillId="0" borderId="5" xfId="0" applyFont="1" applyBorder="1" applyAlignment="1">
      <alignment vertical="center" textRotation="255"/>
    </xf>
  </cellXfs>
  <cellStyles count="25">
    <cellStyle name="Banded" xfId="24" xr:uid="{022B6E07-0B2D-4553-9E72-C8C20A49BFA9}"/>
    <cellStyle name="Day" xfId="22" xr:uid="{FA67875B-2D6C-4EB8-88D1-E2BF06D70AAC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eading 1" xfId="21" builtinId="16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  <cellStyle name="Settings Entry" xfId="23" xr:uid="{2A6B96B4-4C53-41DC-9501-175690EEAA7E}"/>
  </cellStyles>
  <dxfs count="75">
    <dxf>
      <font>
        <color theme="2" tint="-0.499984740745262"/>
      </font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499984740745262"/>
        </patternFill>
      </fill>
    </dxf>
    <dxf>
      <font>
        <color theme="0"/>
      </font>
      <fill>
        <patternFill>
          <bgColor theme="1" tint="4.9989318521683403E-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000090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3"/>
  <sheetViews>
    <sheetView workbookViewId="0">
      <selection activeCell="B16" sqref="B16"/>
    </sheetView>
  </sheetViews>
  <sheetFormatPr defaultColWidth="8.83984375" defaultRowHeight="14.4" x14ac:dyDescent="0.55000000000000004"/>
  <cols>
    <col min="1" max="1" width="42.26171875" bestFit="1" customWidth="1"/>
    <col min="2" max="2" width="12.68359375" bestFit="1" customWidth="1"/>
  </cols>
  <sheetData>
    <row r="1" spans="1:2" x14ac:dyDescent="0.55000000000000004">
      <c r="A1" s="2" t="s">
        <v>59</v>
      </c>
      <c r="B1" s="2" t="s">
        <v>60</v>
      </c>
    </row>
    <row r="2" spans="1:2" x14ac:dyDescent="0.55000000000000004">
      <c r="A2" s="1" t="s">
        <v>61</v>
      </c>
      <c r="B2" s="15"/>
    </row>
    <row r="3" spans="1:2" x14ac:dyDescent="0.55000000000000004">
      <c r="A3" s="1" t="s">
        <v>62</v>
      </c>
      <c r="B3" s="8"/>
    </row>
    <row r="4" spans="1:2" x14ac:dyDescent="0.55000000000000004">
      <c r="A4" s="1" t="s">
        <v>78</v>
      </c>
      <c r="B4" s="7"/>
    </row>
    <row r="5" spans="1:2" x14ac:dyDescent="0.55000000000000004">
      <c r="A5" s="1" t="s">
        <v>79</v>
      </c>
      <c r="B5" s="9"/>
    </row>
    <row r="6" spans="1:2" x14ac:dyDescent="0.55000000000000004">
      <c r="A6" s="1" t="s">
        <v>63</v>
      </c>
      <c r="B6" s="16"/>
    </row>
    <row r="7" spans="1:2" x14ac:dyDescent="0.55000000000000004">
      <c r="A7" s="1" t="s">
        <v>77</v>
      </c>
      <c r="B7" s="10"/>
    </row>
    <row r="8" spans="1:2" x14ac:dyDescent="0.55000000000000004">
      <c r="A8" s="1" t="s">
        <v>64</v>
      </c>
      <c r="B8" s="11"/>
    </row>
    <row r="9" spans="1:2" x14ac:dyDescent="0.55000000000000004">
      <c r="A9" s="1" t="s">
        <v>69</v>
      </c>
      <c r="B9" s="12"/>
    </row>
    <row r="10" spans="1:2" x14ac:dyDescent="0.55000000000000004">
      <c r="A10" s="1" t="s">
        <v>25</v>
      </c>
      <c r="B10" s="1" t="s">
        <v>25</v>
      </c>
    </row>
    <row r="11" spans="1:2" x14ac:dyDescent="0.55000000000000004">
      <c r="A11" s="1" t="s">
        <v>67</v>
      </c>
      <c r="B11" s="14"/>
    </row>
    <row r="12" spans="1:2" x14ac:dyDescent="0.55000000000000004">
      <c r="A12" s="1" t="s">
        <v>68</v>
      </c>
      <c r="B12" s="13"/>
    </row>
    <row r="13" spans="1:2" x14ac:dyDescent="0.55000000000000004">
      <c r="A13" s="1" t="s">
        <v>80</v>
      </c>
      <c r="B13" s="5"/>
    </row>
    <row r="14" spans="1:2" x14ac:dyDescent="0.55000000000000004">
      <c r="A14" s="1" t="s">
        <v>65</v>
      </c>
      <c r="B14" s="6"/>
    </row>
    <row r="15" spans="1:2" x14ac:dyDescent="0.55000000000000004">
      <c r="A15" s="1" t="s">
        <v>66</v>
      </c>
      <c r="B15" s="4"/>
    </row>
    <row r="16" spans="1:2" x14ac:dyDescent="0.55000000000000004">
      <c r="A16" s="1" t="s">
        <v>157</v>
      </c>
      <c r="B16" s="1"/>
    </row>
    <row r="17" spans="1:2" x14ac:dyDescent="0.55000000000000004">
      <c r="A17" s="1"/>
      <c r="B17" s="1"/>
    </row>
    <row r="18" spans="1:2" x14ac:dyDescent="0.55000000000000004">
      <c r="A18" s="1"/>
      <c r="B18" s="1"/>
    </row>
    <row r="19" spans="1:2" x14ac:dyDescent="0.55000000000000004">
      <c r="A19" s="1"/>
      <c r="B19" s="1"/>
    </row>
    <row r="20" spans="1:2" x14ac:dyDescent="0.55000000000000004">
      <c r="A20" s="1"/>
      <c r="B20" s="1"/>
    </row>
    <row r="21" spans="1:2" x14ac:dyDescent="0.55000000000000004">
      <c r="A21" s="1"/>
      <c r="B21" s="1"/>
    </row>
    <row r="22" spans="1:2" x14ac:dyDescent="0.55000000000000004">
      <c r="A22" s="1"/>
      <c r="B22" s="1"/>
    </row>
    <row r="23" spans="1:2" x14ac:dyDescent="0.55000000000000004">
      <c r="A23" s="1"/>
      <c r="B23" s="1"/>
    </row>
  </sheetData>
  <conditionalFormatting sqref="B10">
    <cfRule type="containsText" dxfId="74" priority="1" operator="containsText" text="Through Hole">
      <formula>NOT(ISERROR(SEARCH("Through Hole",B10)))</formula>
    </cfRule>
    <cfRule type="containsText" dxfId="73" priority="2" operator="containsText" text="Receiving Kit">
      <formula>NOT(ISERROR(SEARCH("Receiving Kit",B10)))</formula>
    </cfRule>
    <cfRule type="containsText" dxfId="72" priority="3" operator="containsText" text="Purchasing in Process">
      <formula>NOT(ISERROR(SEARCH("Purchasing in Process",B10)))</formula>
    </cfRule>
    <cfRule type="containsText" dxfId="71" priority="4" operator="containsText" text="Material ready">
      <formula>NOT(ISERROR(SEARCH("Material ready",B10)))</formula>
    </cfRule>
  </conditionalFormatting>
  <dataValidations count="1">
    <dataValidation type="list" allowBlank="1" showInputMessage="1" showErrorMessage="1" sqref="A1:B15" xr:uid="{9DA6C0D3-4D4A-4C09-A858-5A863D16F943}">
      <formula1>$A$2:$A$15</formula1>
    </dataValidation>
  </dataValidations>
  <pageMargins left="0.7" right="0.7" top="0.75" bottom="0.75" header="0.3" footer="0.3"/>
  <pageSetup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K22"/>
  <sheetViews>
    <sheetView tabSelected="1" zoomScaleNormal="100" workbookViewId="0">
      <selection activeCell="J13" sqref="J13"/>
    </sheetView>
  </sheetViews>
  <sheetFormatPr defaultColWidth="8.83984375" defaultRowHeight="14.4" x14ac:dyDescent="0.55000000000000004"/>
  <cols>
    <col min="1" max="1" width="14.15625" style="49" bestFit="1" customWidth="1"/>
    <col min="2" max="2" width="13.68359375" style="49" bestFit="1" customWidth="1"/>
    <col min="3" max="3" width="11.41796875" style="49" customWidth="1"/>
    <col min="4" max="4" width="11.578125" style="49" hidden="1" customWidth="1"/>
    <col min="5" max="5" width="23.578125" style="49" hidden="1" customWidth="1"/>
    <col min="6" max="6" width="50.83984375" style="49" customWidth="1"/>
    <col min="7" max="7" width="10.578125" style="49" bestFit="1" customWidth="1"/>
    <col min="8" max="8" width="18" style="49" customWidth="1"/>
    <col min="9" max="9" width="13.83984375" style="49" customWidth="1"/>
    <col min="10" max="10" width="26.26171875" style="50" bestFit="1" customWidth="1"/>
    <col min="11" max="11" width="53.68359375" style="48" bestFit="1" customWidth="1"/>
    <col min="12" max="16384" width="8.83984375" style="48"/>
  </cols>
  <sheetData>
    <row r="1" spans="1:11" s="47" customFormat="1" x14ac:dyDescent="0.55000000000000004">
      <c r="A1" s="45" t="s">
        <v>0</v>
      </c>
      <c r="B1" s="45" t="s">
        <v>1</v>
      </c>
      <c r="C1" s="45" t="s">
        <v>203</v>
      </c>
      <c r="D1" s="45" t="s">
        <v>71</v>
      </c>
      <c r="E1" s="45" t="s">
        <v>70</v>
      </c>
      <c r="F1" s="45" t="s">
        <v>2</v>
      </c>
      <c r="G1" s="45" t="s">
        <v>3</v>
      </c>
      <c r="H1" s="45" t="s">
        <v>20</v>
      </c>
      <c r="I1" s="45" t="s">
        <v>21</v>
      </c>
      <c r="J1" s="46" t="s">
        <v>4</v>
      </c>
      <c r="K1" s="53" t="s">
        <v>529</v>
      </c>
    </row>
    <row r="2" spans="1:11" x14ac:dyDescent="0.55000000000000004">
      <c r="A2" s="41" t="s">
        <v>688</v>
      </c>
      <c r="B2" s="41">
        <v>1234</v>
      </c>
      <c r="C2" s="41" t="s">
        <v>689</v>
      </c>
      <c r="D2" s="41"/>
      <c r="E2" s="41"/>
      <c r="F2" s="41" t="s">
        <v>690</v>
      </c>
      <c r="G2" s="41">
        <v>100</v>
      </c>
      <c r="H2" s="41">
        <v>30</v>
      </c>
      <c r="I2" s="41">
        <v>50</v>
      </c>
      <c r="J2" s="43">
        <v>46084</v>
      </c>
      <c r="K2" s="57" t="s">
        <v>598</v>
      </c>
    </row>
    <row r="3" spans="1:11" x14ac:dyDescent="0.55000000000000004">
      <c r="A3" s="48"/>
      <c r="B3" s="48"/>
      <c r="C3" s="48"/>
      <c r="D3" s="48"/>
      <c r="E3" s="48"/>
      <c r="F3" s="48"/>
      <c r="G3" s="48"/>
      <c r="H3" s="48"/>
      <c r="I3" s="48"/>
      <c r="J3" s="48"/>
    </row>
    <row r="4" spans="1:11" x14ac:dyDescent="0.55000000000000004">
      <c r="A4" s="48"/>
      <c r="B4" s="48"/>
      <c r="C4" s="48"/>
      <c r="D4" s="48"/>
      <c r="E4" s="48"/>
      <c r="F4" s="48"/>
      <c r="G4" s="48"/>
      <c r="H4" s="48"/>
      <c r="I4" s="48"/>
      <c r="J4" s="48"/>
    </row>
    <row r="5" spans="1:11" x14ac:dyDescent="0.55000000000000004">
      <c r="A5" s="48"/>
      <c r="B5" s="48"/>
      <c r="C5" s="48"/>
      <c r="D5" s="48"/>
      <c r="E5" s="48"/>
      <c r="F5" s="48"/>
      <c r="G5" s="48"/>
      <c r="H5" s="48"/>
      <c r="I5" s="48"/>
      <c r="J5" s="48"/>
    </row>
    <row r="6" spans="1:11" x14ac:dyDescent="0.55000000000000004">
      <c r="A6" s="48"/>
      <c r="B6" s="48"/>
      <c r="C6" s="48"/>
      <c r="D6" s="48"/>
      <c r="E6" s="48"/>
      <c r="F6" s="48"/>
      <c r="G6" s="48"/>
      <c r="H6" s="48"/>
      <c r="I6" s="48"/>
      <c r="J6" s="48"/>
    </row>
    <row r="7" spans="1:11" x14ac:dyDescent="0.55000000000000004">
      <c r="A7" s="48"/>
      <c r="B7" s="48"/>
      <c r="C7" s="48"/>
      <c r="D7" s="48"/>
      <c r="E7" s="48"/>
      <c r="F7" s="48"/>
      <c r="G7" s="48"/>
      <c r="H7" s="48"/>
      <c r="I7" s="48"/>
      <c r="J7" s="48"/>
    </row>
    <row r="8" spans="1:11" x14ac:dyDescent="0.55000000000000004">
      <c r="A8" s="48"/>
      <c r="B8" s="48"/>
      <c r="C8" s="48"/>
      <c r="D8" s="48"/>
      <c r="E8" s="48"/>
      <c r="F8" s="48"/>
      <c r="G8" s="48"/>
      <c r="H8" s="48"/>
      <c r="I8" s="48"/>
      <c r="J8" s="48"/>
    </row>
    <row r="9" spans="1:11" x14ac:dyDescent="0.55000000000000004">
      <c r="A9" s="48"/>
      <c r="B9" s="48"/>
      <c r="C9" s="48"/>
      <c r="D9" s="48"/>
      <c r="E9" s="48"/>
      <c r="F9" s="48"/>
      <c r="G9" s="48"/>
      <c r="H9" s="48"/>
      <c r="I9" s="48"/>
      <c r="J9" s="48"/>
    </row>
    <row r="10" spans="1:11" x14ac:dyDescent="0.55000000000000004">
      <c r="A10" s="48"/>
      <c r="B10" s="48"/>
      <c r="C10" s="48"/>
      <c r="D10" s="48"/>
      <c r="E10" s="48"/>
      <c r="F10" s="48"/>
      <c r="G10" s="48"/>
      <c r="H10" s="48"/>
      <c r="I10" s="48"/>
      <c r="J10" s="48"/>
    </row>
    <row r="11" spans="1:11" x14ac:dyDescent="0.55000000000000004">
      <c r="A11" s="48"/>
      <c r="B11" s="48"/>
      <c r="C11" s="48"/>
      <c r="D11" s="48"/>
      <c r="E11" s="48"/>
      <c r="F11" s="48"/>
      <c r="G11" s="48"/>
      <c r="H11" s="48"/>
      <c r="I11" s="48"/>
      <c r="J11" s="48"/>
    </row>
    <row r="12" spans="1:11" x14ac:dyDescent="0.55000000000000004">
      <c r="A12" s="48"/>
      <c r="B12" s="48"/>
      <c r="C12" s="48"/>
      <c r="D12" s="48"/>
      <c r="E12" s="48"/>
      <c r="F12" s="48"/>
      <c r="G12" s="48"/>
      <c r="H12" s="48"/>
      <c r="I12" s="48"/>
      <c r="J12" s="48"/>
    </row>
    <row r="13" spans="1:11" x14ac:dyDescent="0.55000000000000004">
      <c r="A13" s="48"/>
      <c r="B13" s="48"/>
      <c r="C13" s="48"/>
      <c r="D13" s="48"/>
      <c r="E13" s="48"/>
      <c r="F13" s="48"/>
      <c r="G13" s="48"/>
      <c r="H13" s="48"/>
      <c r="I13" s="48"/>
      <c r="J13" s="48"/>
    </row>
    <row r="14" spans="1:11" x14ac:dyDescent="0.55000000000000004">
      <c r="A14" s="48"/>
      <c r="B14" s="48"/>
      <c r="C14" s="48"/>
      <c r="D14" s="48"/>
      <c r="E14" s="48"/>
      <c r="F14" s="48"/>
      <c r="G14" s="48"/>
      <c r="H14" s="48"/>
      <c r="I14" s="48"/>
      <c r="J14" s="48"/>
    </row>
    <row r="15" spans="1:11" x14ac:dyDescent="0.55000000000000004">
      <c r="A15" s="48"/>
      <c r="B15" s="48"/>
      <c r="C15" s="48"/>
      <c r="D15" s="48"/>
      <c r="E15" s="48"/>
      <c r="F15" s="48"/>
      <c r="G15" s="48"/>
      <c r="H15" s="48"/>
      <c r="I15" s="48"/>
      <c r="J15" s="48"/>
    </row>
    <row r="16" spans="1:11" x14ac:dyDescent="0.55000000000000004">
      <c r="A16" s="48"/>
      <c r="B16" s="48"/>
      <c r="C16" s="48"/>
      <c r="D16" s="48"/>
      <c r="E16" s="48"/>
      <c r="F16" s="48"/>
      <c r="G16" s="48"/>
      <c r="H16" s="48"/>
      <c r="I16" s="48"/>
      <c r="J16" s="48"/>
    </row>
    <row r="17" spans="1:10" x14ac:dyDescent="0.55000000000000004">
      <c r="A17" s="48"/>
      <c r="B17" s="48"/>
      <c r="C17" s="48"/>
      <c r="D17" s="48"/>
      <c r="E17" s="48"/>
      <c r="F17" s="48"/>
      <c r="G17" s="48"/>
      <c r="H17" s="48"/>
      <c r="I17" s="48"/>
      <c r="J17" s="48"/>
    </row>
    <row r="18" spans="1:10" x14ac:dyDescent="0.55000000000000004">
      <c r="A18" s="48"/>
      <c r="B18" s="48"/>
      <c r="C18" s="48"/>
      <c r="D18" s="48"/>
      <c r="E18" s="48"/>
      <c r="F18" s="48"/>
      <c r="G18" s="48"/>
      <c r="H18" s="48"/>
      <c r="I18" s="48"/>
      <c r="J18" s="48"/>
    </row>
    <row r="19" spans="1:10" x14ac:dyDescent="0.55000000000000004">
      <c r="A19" s="48"/>
      <c r="B19" s="48"/>
      <c r="C19" s="48"/>
      <c r="D19" s="48"/>
      <c r="E19" s="48"/>
      <c r="F19" s="48"/>
      <c r="G19" s="48"/>
      <c r="H19" s="48"/>
      <c r="I19" s="48"/>
      <c r="J19" s="48"/>
    </row>
    <row r="20" spans="1:10" x14ac:dyDescent="0.55000000000000004">
      <c r="A20" s="48"/>
      <c r="B20" s="48"/>
      <c r="C20" s="48"/>
      <c r="D20" s="48"/>
      <c r="E20" s="48"/>
      <c r="F20" s="48"/>
      <c r="G20" s="48"/>
      <c r="H20" s="48"/>
      <c r="I20" s="48"/>
      <c r="J20" s="48"/>
    </row>
    <row r="21" spans="1:10" x14ac:dyDescent="0.55000000000000004">
      <c r="A21" s="48"/>
      <c r="B21" s="48"/>
      <c r="C21" s="48"/>
      <c r="D21" s="48"/>
      <c r="E21" s="48"/>
      <c r="F21" s="48"/>
      <c r="G21" s="48"/>
      <c r="H21" s="48"/>
      <c r="I21" s="48"/>
      <c r="J21" s="48"/>
    </row>
    <row r="22" spans="1:10" x14ac:dyDescent="0.55000000000000004">
      <c r="A22" s="48"/>
      <c r="B22" s="48"/>
      <c r="C22" s="48"/>
      <c r="D22" s="48"/>
      <c r="E22" s="48"/>
      <c r="F22" s="48"/>
      <c r="G22" s="48"/>
      <c r="H22" s="48"/>
      <c r="I22" s="48"/>
      <c r="J22" s="48"/>
    </row>
  </sheetData>
  <autoFilter ref="A1:K15" xr:uid="{00000000-0001-0000-0100-000000000000}"/>
  <phoneticPr fontId="2" type="noConversion"/>
  <printOptions gridLines="1"/>
  <pageMargins left="0.70866141732283472" right="0.70866141732283472" top="0.74803149606299213" bottom="0.74803149606299213" header="0.31496062992125984" footer="0.31496062992125984"/>
  <pageSetup paperSize="5" scale="68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B568D-AF5D-40DB-AD51-52C965C4220C}">
  <sheetPr filterMode="1"/>
  <dimension ref="A1:K183"/>
  <sheetViews>
    <sheetView workbookViewId="0">
      <selection activeCell="F156" sqref="F156"/>
    </sheetView>
  </sheetViews>
  <sheetFormatPr defaultColWidth="11.15625" defaultRowHeight="14.4" x14ac:dyDescent="0.55000000000000004"/>
  <cols>
    <col min="1" max="1" width="16.15625" customWidth="1"/>
    <col min="2" max="2" width="15.15625" customWidth="1"/>
    <col min="4" max="4" width="5.68359375" bestFit="1" customWidth="1"/>
    <col min="5" max="5" width="20" bestFit="1" customWidth="1"/>
    <col min="6" max="6" width="42.578125" bestFit="1" customWidth="1"/>
    <col min="10" max="10" width="27.26171875" bestFit="1" customWidth="1"/>
    <col min="11" max="11" width="19.578125" bestFit="1" customWidth="1"/>
  </cols>
  <sheetData>
    <row r="1" spans="1:11" s="47" customFormat="1" x14ac:dyDescent="0.55000000000000004">
      <c r="A1" s="45" t="s">
        <v>0</v>
      </c>
      <c r="B1" s="45" t="s">
        <v>1</v>
      </c>
      <c r="C1" s="45" t="s">
        <v>203</v>
      </c>
      <c r="D1" s="45" t="s">
        <v>71</v>
      </c>
      <c r="E1" s="45" t="s">
        <v>70</v>
      </c>
      <c r="F1" s="45" t="s">
        <v>2</v>
      </c>
      <c r="G1" s="45" t="s">
        <v>3</v>
      </c>
      <c r="H1" s="45" t="s">
        <v>20</v>
      </c>
      <c r="I1" s="45" t="s">
        <v>21</v>
      </c>
      <c r="J1" s="46" t="s">
        <v>4</v>
      </c>
      <c r="K1" s="45" t="s">
        <v>5</v>
      </c>
    </row>
    <row r="2" spans="1:11" s="48" customFormat="1" hidden="1" x14ac:dyDescent="0.55000000000000004">
      <c r="A2" s="59" t="s">
        <v>584</v>
      </c>
      <c r="B2" s="41" t="s">
        <v>644</v>
      </c>
      <c r="C2" s="41" t="s">
        <v>656</v>
      </c>
      <c r="D2" s="41"/>
      <c r="E2" s="41"/>
      <c r="F2" s="41" t="s">
        <v>521</v>
      </c>
      <c r="G2" s="41">
        <v>20</v>
      </c>
      <c r="H2" s="41"/>
      <c r="I2" s="41"/>
      <c r="J2" s="43">
        <v>45957</v>
      </c>
      <c r="K2" s="41" t="s">
        <v>66</v>
      </c>
    </row>
    <row r="3" spans="1:11" hidden="1" x14ac:dyDescent="0.55000000000000004">
      <c r="A3" s="59" t="s">
        <v>584</v>
      </c>
      <c r="B3" s="41" t="s">
        <v>644</v>
      </c>
      <c r="C3" s="41" t="s">
        <v>657</v>
      </c>
      <c r="D3" s="41"/>
      <c r="E3" s="41"/>
      <c r="F3" s="41" t="s">
        <v>525</v>
      </c>
      <c r="G3" s="41">
        <v>90</v>
      </c>
      <c r="H3" s="41"/>
      <c r="I3" s="41"/>
      <c r="J3" s="43">
        <v>45957</v>
      </c>
      <c r="K3" s="41" t="s">
        <v>66</v>
      </c>
    </row>
    <row r="4" spans="1:11" hidden="1" x14ac:dyDescent="0.55000000000000004">
      <c r="A4" s="41" t="s">
        <v>584</v>
      </c>
      <c r="B4" s="41" t="s">
        <v>640</v>
      </c>
      <c r="C4" s="41"/>
      <c r="D4" s="41"/>
      <c r="E4" s="41"/>
      <c r="F4" s="41" t="s">
        <v>519</v>
      </c>
      <c r="G4" s="41">
        <v>21</v>
      </c>
      <c r="H4" s="41"/>
      <c r="I4" s="41"/>
      <c r="J4" s="43"/>
      <c r="K4" s="41" t="s">
        <v>66</v>
      </c>
    </row>
    <row r="5" spans="1:11" s="48" customFormat="1" hidden="1" x14ac:dyDescent="0.55000000000000004">
      <c r="A5" s="41" t="s">
        <v>584</v>
      </c>
      <c r="B5" s="41" t="s">
        <v>635</v>
      </c>
      <c r="C5" s="41"/>
      <c r="D5" s="41"/>
      <c r="E5" s="41"/>
      <c r="F5" s="41" t="s">
        <v>518</v>
      </c>
      <c r="G5" s="41">
        <v>100</v>
      </c>
      <c r="H5" s="41"/>
      <c r="I5" s="41"/>
      <c r="J5" s="43">
        <v>45915</v>
      </c>
      <c r="K5" s="41" t="s">
        <v>66</v>
      </c>
    </row>
    <row r="6" spans="1:11" s="48" customFormat="1" hidden="1" x14ac:dyDescent="0.55000000000000004">
      <c r="A6" s="41" t="s">
        <v>584</v>
      </c>
      <c r="B6" s="41" t="s">
        <v>624</v>
      </c>
      <c r="C6" s="41"/>
      <c r="D6" s="41"/>
      <c r="E6" s="41"/>
      <c r="F6" s="41" t="s">
        <v>516</v>
      </c>
      <c r="G6" s="41">
        <v>47</v>
      </c>
      <c r="H6" s="41"/>
      <c r="I6" s="41"/>
      <c r="J6" s="43">
        <v>45905</v>
      </c>
      <c r="K6" s="41" t="s">
        <v>66</v>
      </c>
    </row>
    <row r="7" spans="1:11" s="48" customFormat="1" hidden="1" x14ac:dyDescent="0.55000000000000004">
      <c r="A7" s="41" t="s">
        <v>584</v>
      </c>
      <c r="B7" s="41" t="s">
        <v>623</v>
      </c>
      <c r="C7" s="41"/>
      <c r="D7" s="41"/>
      <c r="E7" s="41"/>
      <c r="F7" s="41" t="s">
        <v>522</v>
      </c>
      <c r="G7" s="41">
        <v>50</v>
      </c>
      <c r="H7" s="41"/>
      <c r="I7" s="41"/>
      <c r="J7" s="43">
        <v>45905</v>
      </c>
      <c r="K7" s="41" t="s">
        <v>66</v>
      </c>
    </row>
    <row r="8" spans="1:11" hidden="1" x14ac:dyDescent="0.55000000000000004">
      <c r="A8" s="41" t="s">
        <v>584</v>
      </c>
      <c r="B8" s="41" t="s">
        <v>608</v>
      </c>
      <c r="C8" s="41"/>
      <c r="D8" s="41"/>
      <c r="E8" s="41"/>
      <c r="F8" s="41" t="s">
        <v>609</v>
      </c>
      <c r="G8" s="41">
        <v>100</v>
      </c>
      <c r="H8" s="41">
        <v>100</v>
      </c>
      <c r="I8" s="41">
        <v>0</v>
      </c>
      <c r="J8" s="43">
        <v>45838</v>
      </c>
      <c r="K8" s="41" t="s">
        <v>66</v>
      </c>
    </row>
    <row r="9" spans="1:11" hidden="1" x14ac:dyDescent="0.55000000000000004">
      <c r="A9" s="41" t="s">
        <v>584</v>
      </c>
      <c r="B9" s="41" t="s">
        <v>603</v>
      </c>
      <c r="C9" s="41"/>
      <c r="D9" s="41"/>
      <c r="E9" s="41"/>
      <c r="F9" s="41" t="s">
        <v>517</v>
      </c>
      <c r="G9" s="41">
        <v>50</v>
      </c>
      <c r="H9" s="41">
        <v>38</v>
      </c>
      <c r="I9" s="41">
        <v>12</v>
      </c>
      <c r="J9" s="43">
        <v>45860</v>
      </c>
      <c r="K9" s="41" t="s">
        <v>66</v>
      </c>
    </row>
    <row r="10" spans="1:11" hidden="1" x14ac:dyDescent="0.55000000000000004">
      <c r="A10" s="41" t="s">
        <v>584</v>
      </c>
      <c r="B10" s="41" t="s">
        <v>585</v>
      </c>
      <c r="C10" s="41"/>
      <c r="D10" s="41"/>
      <c r="E10" s="41"/>
      <c r="F10" s="41" t="s">
        <v>522</v>
      </c>
      <c r="G10" s="41">
        <v>50</v>
      </c>
      <c r="H10" s="41">
        <v>10</v>
      </c>
      <c r="I10" s="41">
        <v>40</v>
      </c>
      <c r="J10" s="43">
        <v>45838</v>
      </c>
      <c r="K10" s="41" t="s">
        <v>66</v>
      </c>
    </row>
    <row r="11" spans="1:11" s="48" customFormat="1" hidden="1" x14ac:dyDescent="0.55000000000000004">
      <c r="A11" s="1" t="s">
        <v>29</v>
      </c>
      <c r="B11" s="1" t="s">
        <v>534</v>
      </c>
      <c r="C11" s="1"/>
      <c r="D11" s="1"/>
      <c r="E11" s="1"/>
      <c r="F11" s="3" t="s">
        <v>535</v>
      </c>
      <c r="G11" s="1">
        <v>48</v>
      </c>
      <c r="H11" s="1"/>
      <c r="I11" s="1"/>
      <c r="J11" s="39">
        <v>45747</v>
      </c>
      <c r="K11" s="3" t="s">
        <v>66</v>
      </c>
    </row>
    <row r="12" spans="1:11" s="48" customFormat="1" ht="43.2" hidden="1" x14ac:dyDescent="0.55000000000000004">
      <c r="A12" s="1" t="s">
        <v>29</v>
      </c>
      <c r="B12" s="1" t="s">
        <v>429</v>
      </c>
      <c r="C12" s="1"/>
      <c r="D12" s="1"/>
      <c r="E12" s="1"/>
      <c r="F12" s="3" t="s">
        <v>433</v>
      </c>
      <c r="G12" s="1">
        <v>92</v>
      </c>
      <c r="H12" s="1">
        <v>92</v>
      </c>
      <c r="I12" s="1">
        <f>G12-H12</f>
        <v>0</v>
      </c>
      <c r="J12" s="39">
        <v>45657</v>
      </c>
      <c r="K12" s="1" t="s">
        <v>66</v>
      </c>
    </row>
    <row r="13" spans="1:11" ht="43.2" hidden="1" x14ac:dyDescent="0.55000000000000004">
      <c r="A13" s="1" t="s">
        <v>29</v>
      </c>
      <c r="B13" s="1" t="s">
        <v>429</v>
      </c>
      <c r="C13" s="1"/>
      <c r="D13" s="1"/>
      <c r="E13" s="1"/>
      <c r="F13" s="3" t="s">
        <v>431</v>
      </c>
      <c r="G13" s="1">
        <v>92</v>
      </c>
      <c r="H13" s="1">
        <v>92</v>
      </c>
      <c r="I13" s="1">
        <v>0</v>
      </c>
      <c r="J13" s="39">
        <v>45657</v>
      </c>
      <c r="K13" s="41" t="s">
        <v>66</v>
      </c>
    </row>
    <row r="14" spans="1:11" ht="43.2" hidden="1" x14ac:dyDescent="0.55000000000000004">
      <c r="A14" s="1" t="s">
        <v>29</v>
      </c>
      <c r="B14" s="1" t="s">
        <v>429</v>
      </c>
      <c r="C14" s="1"/>
      <c r="D14" s="1"/>
      <c r="E14" s="1"/>
      <c r="F14" s="3" t="s">
        <v>432</v>
      </c>
      <c r="G14" s="1">
        <v>48</v>
      </c>
      <c r="H14" s="1">
        <v>48</v>
      </c>
      <c r="I14" s="1">
        <v>0</v>
      </c>
      <c r="J14" s="39">
        <v>45657</v>
      </c>
      <c r="K14" s="41" t="s">
        <v>66</v>
      </c>
    </row>
    <row r="15" spans="1:11" hidden="1" x14ac:dyDescent="0.55000000000000004">
      <c r="A15" s="41" t="s">
        <v>13</v>
      </c>
      <c r="B15" s="41" t="s">
        <v>582</v>
      </c>
      <c r="C15" s="41"/>
      <c r="D15" s="41"/>
      <c r="E15" s="41" t="s">
        <v>614</v>
      </c>
      <c r="F15" s="41" t="s">
        <v>14</v>
      </c>
      <c r="G15" s="41">
        <v>150</v>
      </c>
      <c r="H15" s="41"/>
      <c r="I15" s="41"/>
      <c r="J15" s="43">
        <v>45838</v>
      </c>
      <c r="K15" s="41" t="s">
        <v>66</v>
      </c>
    </row>
    <row r="16" spans="1:11" s="48" customFormat="1" hidden="1" x14ac:dyDescent="0.55000000000000004">
      <c r="A16" s="1" t="s">
        <v>230</v>
      </c>
      <c r="B16" s="1" t="s">
        <v>231</v>
      </c>
      <c r="C16" s="1" t="s">
        <v>281</v>
      </c>
      <c r="D16" s="1"/>
      <c r="E16" s="1" t="s">
        <v>267</v>
      </c>
      <c r="F16" s="3" t="s">
        <v>232</v>
      </c>
      <c r="G16" s="1">
        <v>250</v>
      </c>
      <c r="H16" s="1">
        <v>150</v>
      </c>
      <c r="I16" s="1">
        <v>100</v>
      </c>
      <c r="J16" s="39">
        <v>45703</v>
      </c>
      <c r="K16" s="41" t="s">
        <v>66</v>
      </c>
    </row>
    <row r="17" spans="1:11" hidden="1" x14ac:dyDescent="0.55000000000000004">
      <c r="A17" s="41" t="s">
        <v>173</v>
      </c>
      <c r="B17" s="41" t="s">
        <v>670</v>
      </c>
      <c r="C17" s="41" t="s">
        <v>654</v>
      </c>
      <c r="D17" s="41"/>
      <c r="E17" s="41" t="s">
        <v>654</v>
      </c>
      <c r="F17" s="41" t="s">
        <v>626</v>
      </c>
      <c r="G17" s="41">
        <v>15</v>
      </c>
      <c r="H17" s="41"/>
      <c r="I17" s="41"/>
      <c r="J17" s="43">
        <v>45964</v>
      </c>
      <c r="K17" s="41" t="s">
        <v>66</v>
      </c>
    </row>
    <row r="18" spans="1:11" hidden="1" x14ac:dyDescent="0.55000000000000004">
      <c r="A18" s="41" t="s">
        <v>173</v>
      </c>
      <c r="B18" s="41" t="s">
        <v>619</v>
      </c>
      <c r="C18" s="41"/>
      <c r="D18" s="41"/>
      <c r="E18" s="41"/>
      <c r="F18" s="41" t="s">
        <v>620</v>
      </c>
      <c r="G18" s="41">
        <v>10</v>
      </c>
      <c r="H18" s="41"/>
      <c r="I18" s="41"/>
      <c r="J18" s="43">
        <v>45936</v>
      </c>
      <c r="K18" s="41" t="s">
        <v>66</v>
      </c>
    </row>
    <row r="19" spans="1:11" s="48" customFormat="1" hidden="1" x14ac:dyDescent="0.55000000000000004">
      <c r="A19" s="41" t="s">
        <v>173</v>
      </c>
      <c r="B19" s="41" t="s">
        <v>618</v>
      </c>
      <c r="C19" s="41"/>
      <c r="D19" s="41"/>
      <c r="E19" s="41"/>
      <c r="F19" s="41" t="s">
        <v>466</v>
      </c>
      <c r="G19" s="41">
        <v>10</v>
      </c>
      <c r="H19" s="41"/>
      <c r="I19" s="41"/>
      <c r="J19" s="43">
        <v>45936</v>
      </c>
      <c r="K19" s="41" t="s">
        <v>66</v>
      </c>
    </row>
    <row r="20" spans="1:11" s="48" customFormat="1" hidden="1" x14ac:dyDescent="0.55000000000000004">
      <c r="A20" s="41" t="s">
        <v>173</v>
      </c>
      <c r="B20" s="41" t="s">
        <v>613</v>
      </c>
      <c r="C20" s="41"/>
      <c r="D20" s="41"/>
      <c r="E20" s="41"/>
      <c r="F20" s="41" t="s">
        <v>612</v>
      </c>
      <c r="G20" s="41">
        <v>5</v>
      </c>
      <c r="H20" s="41"/>
      <c r="I20" s="41"/>
      <c r="J20" s="43">
        <v>45929</v>
      </c>
      <c r="K20" s="41" t="s">
        <v>66</v>
      </c>
    </row>
    <row r="21" spans="1:11" s="48" customFormat="1" hidden="1" x14ac:dyDescent="0.55000000000000004">
      <c r="A21" s="55" t="s">
        <v>173</v>
      </c>
      <c r="B21" s="55" t="s">
        <v>565</v>
      </c>
      <c r="C21" s="55"/>
      <c r="D21" s="55"/>
      <c r="E21" s="55"/>
      <c r="F21" s="55" t="s">
        <v>566</v>
      </c>
      <c r="G21" s="55">
        <v>15</v>
      </c>
      <c r="H21" s="55"/>
      <c r="I21" s="55"/>
      <c r="J21" s="56">
        <v>45838</v>
      </c>
      <c r="K21" s="41" t="s">
        <v>66</v>
      </c>
    </row>
    <row r="22" spans="1:11" hidden="1" x14ac:dyDescent="0.55000000000000004">
      <c r="A22" s="41" t="s">
        <v>173</v>
      </c>
      <c r="B22" s="41" t="s">
        <v>565</v>
      </c>
      <c r="C22" s="41"/>
      <c r="D22" s="41"/>
      <c r="E22" s="41"/>
      <c r="F22" s="41" t="s">
        <v>570</v>
      </c>
      <c r="G22" s="41">
        <v>28</v>
      </c>
      <c r="H22" s="41"/>
      <c r="I22" s="41"/>
      <c r="J22" s="43">
        <v>45901</v>
      </c>
      <c r="K22" s="41" t="s">
        <v>66</v>
      </c>
    </row>
    <row r="23" spans="1:11" hidden="1" x14ac:dyDescent="0.55000000000000004">
      <c r="A23" s="55" t="s">
        <v>173</v>
      </c>
      <c r="B23" s="55" t="s">
        <v>565</v>
      </c>
      <c r="C23" s="55"/>
      <c r="D23" s="55"/>
      <c r="E23" s="55" t="s">
        <v>596</v>
      </c>
      <c r="F23" s="55" t="s">
        <v>472</v>
      </c>
      <c r="G23" s="55">
        <v>10</v>
      </c>
      <c r="H23" s="55"/>
      <c r="I23" s="55"/>
      <c r="J23" s="43">
        <v>45908</v>
      </c>
      <c r="K23" s="41" t="s">
        <v>66</v>
      </c>
    </row>
    <row r="24" spans="1:11" s="48" customFormat="1" hidden="1" x14ac:dyDescent="0.55000000000000004">
      <c r="A24" s="41" t="s">
        <v>173</v>
      </c>
      <c r="B24" s="41" t="s">
        <v>565</v>
      </c>
      <c r="C24" s="41"/>
      <c r="D24" s="41"/>
      <c r="E24" s="41"/>
      <c r="F24" s="41" t="s">
        <v>569</v>
      </c>
      <c r="G24" s="41">
        <v>26</v>
      </c>
      <c r="H24" s="41"/>
      <c r="I24" s="41"/>
      <c r="J24" s="43">
        <v>45915</v>
      </c>
      <c r="K24" s="41" t="s">
        <v>66</v>
      </c>
    </row>
    <row r="25" spans="1:11" s="48" customFormat="1" hidden="1" x14ac:dyDescent="0.55000000000000004">
      <c r="A25" s="41" t="s">
        <v>173</v>
      </c>
      <c r="B25" s="41" t="s">
        <v>565</v>
      </c>
      <c r="C25" s="41"/>
      <c r="D25" s="41"/>
      <c r="E25" s="41"/>
      <c r="F25" s="41" t="s">
        <v>468</v>
      </c>
      <c r="G25" s="41">
        <v>24</v>
      </c>
      <c r="H25" s="41"/>
      <c r="I25" s="41"/>
      <c r="J25" s="43">
        <v>45929</v>
      </c>
      <c r="K25" s="41" t="s">
        <v>66</v>
      </c>
    </row>
    <row r="26" spans="1:11" s="48" customFormat="1" hidden="1" x14ac:dyDescent="0.55000000000000004">
      <c r="A26" s="55" t="s">
        <v>173</v>
      </c>
      <c r="B26" s="55" t="s">
        <v>565</v>
      </c>
      <c r="C26" s="55"/>
      <c r="D26" s="55"/>
      <c r="E26" s="55"/>
      <c r="F26" s="55" t="s">
        <v>567</v>
      </c>
      <c r="G26" s="55">
        <v>160</v>
      </c>
      <c r="H26" s="55">
        <v>100</v>
      </c>
      <c r="I26" s="55">
        <v>60</v>
      </c>
      <c r="J26" s="43">
        <v>45922</v>
      </c>
      <c r="K26" s="41" t="s">
        <v>66</v>
      </c>
    </row>
    <row r="27" spans="1:11" s="48" customFormat="1" hidden="1" x14ac:dyDescent="0.55000000000000004">
      <c r="A27" s="41" t="s">
        <v>173</v>
      </c>
      <c r="B27" s="41" t="s">
        <v>565</v>
      </c>
      <c r="C27" s="41"/>
      <c r="D27" s="41"/>
      <c r="E27" s="41"/>
      <c r="F27" s="41" t="s">
        <v>474</v>
      </c>
      <c r="G27" s="41">
        <v>20</v>
      </c>
      <c r="H27" s="41"/>
      <c r="I27" s="41"/>
      <c r="J27" s="43">
        <v>45943</v>
      </c>
      <c r="K27" s="41" t="s">
        <v>66</v>
      </c>
    </row>
    <row r="28" spans="1:11" s="48" customFormat="1" hidden="1" x14ac:dyDescent="0.55000000000000004">
      <c r="A28" s="41" t="s">
        <v>173</v>
      </c>
      <c r="B28" s="41" t="s">
        <v>565</v>
      </c>
      <c r="C28" s="41"/>
      <c r="D28" s="41"/>
      <c r="E28" s="41"/>
      <c r="F28" s="41" t="s">
        <v>568</v>
      </c>
      <c r="G28" s="41">
        <v>20</v>
      </c>
      <c r="H28" s="41"/>
      <c r="I28" s="41"/>
      <c r="J28" s="43">
        <v>45950</v>
      </c>
      <c r="K28" s="41" t="s">
        <v>66</v>
      </c>
    </row>
    <row r="29" spans="1:11" s="48" customFormat="1" hidden="1" x14ac:dyDescent="0.55000000000000004">
      <c r="A29" s="55" t="s">
        <v>173</v>
      </c>
      <c r="B29" s="55" t="s">
        <v>558</v>
      </c>
      <c r="C29" s="55"/>
      <c r="D29" s="55"/>
      <c r="E29" s="55" t="s">
        <v>597</v>
      </c>
      <c r="F29" s="55" t="s">
        <v>466</v>
      </c>
      <c r="G29" s="55">
        <v>10</v>
      </c>
      <c r="H29" s="55"/>
      <c r="I29" s="55"/>
      <c r="J29" s="56">
        <v>45824</v>
      </c>
      <c r="K29" s="41" t="s">
        <v>66</v>
      </c>
    </row>
    <row r="30" spans="1:11" s="48" customFormat="1" hidden="1" x14ac:dyDescent="0.55000000000000004">
      <c r="A30" s="41" t="s">
        <v>173</v>
      </c>
      <c r="B30" s="41" t="s">
        <v>559</v>
      </c>
      <c r="C30" s="41"/>
      <c r="D30" s="41"/>
      <c r="E30" s="41" t="s">
        <v>588</v>
      </c>
      <c r="F30" s="41" t="s">
        <v>586</v>
      </c>
      <c r="G30" s="41">
        <v>10</v>
      </c>
      <c r="H30" s="41"/>
      <c r="I30" s="41"/>
      <c r="J30" s="43">
        <v>45824</v>
      </c>
      <c r="K30" s="41" t="s">
        <v>66</v>
      </c>
    </row>
    <row r="31" spans="1:11" s="48" customFormat="1" hidden="1" x14ac:dyDescent="0.55000000000000004">
      <c r="A31" s="41" t="s">
        <v>173</v>
      </c>
      <c r="B31" s="41" t="s">
        <v>559</v>
      </c>
      <c r="C31" s="41"/>
      <c r="D31" s="41"/>
      <c r="E31" s="41" t="s">
        <v>589</v>
      </c>
      <c r="F31" s="41" t="s">
        <v>587</v>
      </c>
      <c r="G31" s="41">
        <v>10</v>
      </c>
      <c r="H31" s="41"/>
      <c r="I31" s="41"/>
      <c r="J31" s="43">
        <v>45824</v>
      </c>
      <c r="K31" s="41" t="s">
        <v>66</v>
      </c>
    </row>
    <row r="32" spans="1:11" s="48" customFormat="1" hidden="1" x14ac:dyDescent="0.55000000000000004">
      <c r="A32" s="55" t="s">
        <v>173</v>
      </c>
      <c r="B32" s="55" t="s">
        <v>559</v>
      </c>
      <c r="C32" s="55"/>
      <c r="D32" s="55"/>
      <c r="E32" s="55" t="s">
        <v>595</v>
      </c>
      <c r="F32" s="55" t="s">
        <v>593</v>
      </c>
      <c r="G32" s="55">
        <v>30</v>
      </c>
      <c r="H32" s="55"/>
      <c r="I32" s="55"/>
      <c r="J32" s="56">
        <v>45838</v>
      </c>
      <c r="K32" s="41" t="s">
        <v>66</v>
      </c>
    </row>
    <row r="33" spans="1:11" s="48" customFormat="1" ht="20.25" hidden="1" customHeight="1" x14ac:dyDescent="0.55000000000000004">
      <c r="A33" s="41" t="s">
        <v>173</v>
      </c>
      <c r="B33" s="41" t="s">
        <v>539</v>
      </c>
      <c r="C33" s="41"/>
      <c r="D33" s="41"/>
      <c r="E33" s="41"/>
      <c r="F33" s="41" t="s">
        <v>540</v>
      </c>
      <c r="G33" s="41">
        <v>10</v>
      </c>
      <c r="H33" s="41">
        <v>10</v>
      </c>
      <c r="I33" s="41">
        <f>G33-H33</f>
        <v>0</v>
      </c>
      <c r="J33" s="43">
        <v>45754</v>
      </c>
      <c r="K33" s="3" t="s">
        <v>66</v>
      </c>
    </row>
    <row r="34" spans="1:11" hidden="1" x14ac:dyDescent="0.55000000000000004">
      <c r="A34" s="41" t="s">
        <v>173</v>
      </c>
      <c r="B34" s="41" t="s">
        <v>530</v>
      </c>
      <c r="C34" s="41"/>
      <c r="D34" s="41"/>
      <c r="E34" s="41"/>
      <c r="F34" s="41" t="s">
        <v>531</v>
      </c>
      <c r="G34" s="41">
        <v>3</v>
      </c>
      <c r="H34" s="41"/>
      <c r="I34" s="41"/>
      <c r="J34" s="43">
        <v>45782</v>
      </c>
      <c r="K34" s="3" t="s">
        <v>66</v>
      </c>
    </row>
    <row r="35" spans="1:11" s="48" customFormat="1" hidden="1" x14ac:dyDescent="0.55000000000000004">
      <c r="A35" s="41" t="s">
        <v>173</v>
      </c>
      <c r="B35" s="41" t="s">
        <v>503</v>
      </c>
      <c r="C35" s="41"/>
      <c r="D35" s="41"/>
      <c r="E35" s="41"/>
      <c r="F35" s="41" t="s">
        <v>504</v>
      </c>
      <c r="G35" s="41">
        <v>2</v>
      </c>
      <c r="H35" s="41"/>
      <c r="I35" s="41"/>
      <c r="J35" s="43">
        <v>45712</v>
      </c>
      <c r="K35" s="41" t="s">
        <v>66</v>
      </c>
    </row>
    <row r="36" spans="1:11" s="48" customFormat="1" hidden="1" x14ac:dyDescent="0.55000000000000004">
      <c r="A36" s="41" t="s">
        <v>173</v>
      </c>
      <c r="B36" s="41" t="s">
        <v>503</v>
      </c>
      <c r="C36" s="41"/>
      <c r="D36" s="41"/>
      <c r="E36" s="41"/>
      <c r="F36" s="41" t="s">
        <v>504</v>
      </c>
      <c r="G36" s="41">
        <v>30</v>
      </c>
      <c r="H36" s="41"/>
      <c r="I36" s="41"/>
      <c r="J36" s="43">
        <v>45901</v>
      </c>
      <c r="K36" s="41" t="s">
        <v>66</v>
      </c>
    </row>
    <row r="37" spans="1:11" hidden="1" x14ac:dyDescent="0.55000000000000004">
      <c r="A37" s="41" t="s">
        <v>173</v>
      </c>
      <c r="B37" s="41" t="s">
        <v>484</v>
      </c>
      <c r="C37" s="41"/>
      <c r="D37" s="41"/>
      <c r="E37" s="41"/>
      <c r="F37" s="41" t="s">
        <v>498</v>
      </c>
      <c r="G37" s="41">
        <v>20</v>
      </c>
      <c r="H37" s="41"/>
      <c r="I37" s="41"/>
      <c r="J37" s="39">
        <v>45733</v>
      </c>
      <c r="K37" s="41" t="s">
        <v>66</v>
      </c>
    </row>
    <row r="38" spans="1:11" hidden="1" x14ac:dyDescent="0.55000000000000004">
      <c r="A38" s="41" t="s">
        <v>173</v>
      </c>
      <c r="B38" s="41" t="s">
        <v>464</v>
      </c>
      <c r="C38" s="41"/>
      <c r="D38" s="41"/>
      <c r="E38" s="41"/>
      <c r="F38" s="41" t="s">
        <v>474</v>
      </c>
      <c r="G38" s="41">
        <v>20</v>
      </c>
      <c r="H38" s="41">
        <f>13+7</f>
        <v>20</v>
      </c>
      <c r="I38" s="41">
        <f>G38-H38</f>
        <v>0</v>
      </c>
      <c r="J38" s="39">
        <v>45722</v>
      </c>
      <c r="K38" s="41" t="s">
        <v>66</v>
      </c>
    </row>
    <row r="39" spans="1:11" s="48" customFormat="1" hidden="1" x14ac:dyDescent="0.55000000000000004">
      <c r="A39" s="41" t="s">
        <v>173</v>
      </c>
      <c r="B39" s="41" t="s">
        <v>455</v>
      </c>
      <c r="C39" s="41" t="s">
        <v>492</v>
      </c>
      <c r="D39" s="41"/>
      <c r="E39" s="41" t="s">
        <v>492</v>
      </c>
      <c r="F39" s="41" t="s">
        <v>499</v>
      </c>
      <c r="G39" s="41">
        <v>100</v>
      </c>
      <c r="H39" s="41">
        <f>17+17+17+17+17</f>
        <v>85</v>
      </c>
      <c r="I39" s="41">
        <f>G39-H39</f>
        <v>15</v>
      </c>
      <c r="J39" s="43">
        <v>45960</v>
      </c>
      <c r="K39" s="41" t="s">
        <v>66</v>
      </c>
    </row>
    <row r="40" spans="1:11" hidden="1" x14ac:dyDescent="0.55000000000000004">
      <c r="A40" s="41" t="s">
        <v>173</v>
      </c>
      <c r="B40" s="41" t="s">
        <v>456</v>
      </c>
      <c r="C40" s="41"/>
      <c r="D40" s="41"/>
      <c r="E40" s="41" t="s">
        <v>491</v>
      </c>
      <c r="F40" s="41" t="s">
        <v>458</v>
      </c>
      <c r="G40" s="41">
        <v>15</v>
      </c>
      <c r="H40" s="41">
        <v>15</v>
      </c>
      <c r="I40" s="41">
        <f>G40-H40</f>
        <v>0</v>
      </c>
      <c r="J40" s="43">
        <v>45748</v>
      </c>
      <c r="K40" s="41" t="s">
        <v>66</v>
      </c>
    </row>
    <row r="41" spans="1:11" s="48" customFormat="1" hidden="1" x14ac:dyDescent="0.55000000000000004">
      <c r="A41" s="41" t="s">
        <v>173</v>
      </c>
      <c r="B41" s="41" t="s">
        <v>456</v>
      </c>
      <c r="C41" s="41"/>
      <c r="D41" s="41"/>
      <c r="E41" s="41" t="s">
        <v>491</v>
      </c>
      <c r="F41" s="41" t="s">
        <v>457</v>
      </c>
      <c r="G41" s="41">
        <v>10</v>
      </c>
      <c r="H41" s="41"/>
      <c r="I41" s="41"/>
      <c r="J41" s="43">
        <v>45748</v>
      </c>
      <c r="K41" s="41" t="s">
        <v>66</v>
      </c>
    </row>
    <row r="42" spans="1:11" s="48" customFormat="1" hidden="1" x14ac:dyDescent="0.55000000000000004">
      <c r="A42" s="41" t="s">
        <v>173</v>
      </c>
      <c r="B42" s="41" t="s">
        <v>451</v>
      </c>
      <c r="C42" s="41"/>
      <c r="D42" s="41"/>
      <c r="E42" s="41" t="s">
        <v>500</v>
      </c>
      <c r="F42" s="41" t="s">
        <v>469</v>
      </c>
      <c r="G42" s="41">
        <v>34</v>
      </c>
      <c r="H42" s="41"/>
      <c r="I42" s="41"/>
      <c r="J42" s="43">
        <v>45748</v>
      </c>
      <c r="K42" s="41" t="s">
        <v>66</v>
      </c>
    </row>
    <row r="43" spans="1:11" s="48" customFormat="1" hidden="1" x14ac:dyDescent="0.55000000000000004">
      <c r="A43" s="41" t="s">
        <v>173</v>
      </c>
      <c r="B43" s="41" t="s">
        <v>451</v>
      </c>
      <c r="C43" s="41"/>
      <c r="D43" s="41"/>
      <c r="E43" s="41" t="s">
        <v>493</v>
      </c>
      <c r="F43" s="41" t="s">
        <v>470</v>
      </c>
      <c r="G43" s="41">
        <v>45</v>
      </c>
      <c r="H43" s="41">
        <f>15+29</f>
        <v>44</v>
      </c>
      <c r="I43" s="41">
        <f>G43-H43</f>
        <v>1</v>
      </c>
      <c r="J43" s="43">
        <v>45754</v>
      </c>
      <c r="K43" s="3" t="s">
        <v>66</v>
      </c>
    </row>
    <row r="44" spans="1:11" s="48" customFormat="1" hidden="1" x14ac:dyDescent="0.55000000000000004">
      <c r="A44" s="41" t="s">
        <v>173</v>
      </c>
      <c r="B44" s="41" t="s">
        <v>462</v>
      </c>
      <c r="C44" s="41"/>
      <c r="D44" s="41"/>
      <c r="E44" s="41"/>
      <c r="F44" s="41" t="s">
        <v>473</v>
      </c>
      <c r="G44" s="41">
        <v>5</v>
      </c>
      <c r="H44" s="41"/>
      <c r="I44" s="41"/>
      <c r="J44" s="43">
        <v>45712</v>
      </c>
      <c r="K44" s="41" t="s">
        <v>66</v>
      </c>
    </row>
    <row r="45" spans="1:11" s="48" customFormat="1" hidden="1" x14ac:dyDescent="0.55000000000000004">
      <c r="A45" s="41" t="s">
        <v>173</v>
      </c>
      <c r="B45" s="41" t="s">
        <v>454</v>
      </c>
      <c r="C45" s="41"/>
      <c r="D45" s="41"/>
      <c r="E45" s="41" t="s">
        <v>513</v>
      </c>
      <c r="F45" s="41" t="s">
        <v>472</v>
      </c>
      <c r="G45" s="41">
        <v>5</v>
      </c>
      <c r="H45" s="41"/>
      <c r="I45" s="41"/>
      <c r="J45" s="43">
        <v>45717</v>
      </c>
      <c r="K45" s="41" t="s">
        <v>66</v>
      </c>
    </row>
    <row r="46" spans="1:11" s="48" customFormat="1" hidden="1" x14ac:dyDescent="0.55000000000000004">
      <c r="A46" s="41" t="s">
        <v>173</v>
      </c>
      <c r="B46" s="41" t="s">
        <v>453</v>
      </c>
      <c r="C46" s="41"/>
      <c r="D46" s="41"/>
      <c r="E46" s="41" t="s">
        <v>511</v>
      </c>
      <c r="F46" s="41" t="s">
        <v>468</v>
      </c>
      <c r="G46" s="41">
        <v>20</v>
      </c>
      <c r="H46" s="41"/>
      <c r="I46" s="41"/>
      <c r="J46" s="39">
        <v>45722</v>
      </c>
      <c r="K46" s="3" t="s">
        <v>66</v>
      </c>
    </row>
    <row r="47" spans="1:11" s="48" customFormat="1" hidden="1" x14ac:dyDescent="0.55000000000000004">
      <c r="A47" s="41" t="s">
        <v>173</v>
      </c>
      <c r="B47" s="41" t="s">
        <v>452</v>
      </c>
      <c r="C47" s="41"/>
      <c r="D47" s="41"/>
      <c r="E47" s="41"/>
      <c r="F47" s="41" t="s">
        <v>465</v>
      </c>
      <c r="G47" s="41">
        <v>5</v>
      </c>
      <c r="H47" s="41"/>
      <c r="I47" s="41"/>
      <c r="J47" s="43">
        <v>45670</v>
      </c>
      <c r="K47" s="3" t="s">
        <v>66</v>
      </c>
    </row>
    <row r="48" spans="1:11" hidden="1" x14ac:dyDescent="0.55000000000000004">
      <c r="A48" s="41" t="s">
        <v>173</v>
      </c>
      <c r="B48" s="41" t="s">
        <v>459</v>
      </c>
      <c r="C48" s="41"/>
      <c r="D48" s="41"/>
      <c r="E48" s="41" t="s">
        <v>490</v>
      </c>
      <c r="F48" s="41" t="s">
        <v>460</v>
      </c>
      <c r="G48" s="41">
        <v>35</v>
      </c>
      <c r="H48" s="41"/>
      <c r="I48" s="41"/>
      <c r="J48" s="43">
        <v>45677</v>
      </c>
      <c r="K48" s="41" t="s">
        <v>66</v>
      </c>
    </row>
    <row r="49" spans="1:11" hidden="1" x14ac:dyDescent="0.55000000000000004">
      <c r="A49" s="41" t="s">
        <v>173</v>
      </c>
      <c r="B49" s="41" t="s">
        <v>459</v>
      </c>
      <c r="C49" s="41"/>
      <c r="D49" s="41"/>
      <c r="E49" s="41" t="s">
        <v>489</v>
      </c>
      <c r="F49" s="41" t="s">
        <v>461</v>
      </c>
      <c r="G49" s="41">
        <v>20</v>
      </c>
      <c r="H49" s="41">
        <v>14</v>
      </c>
      <c r="I49" s="41">
        <f>G49-H49</f>
        <v>6</v>
      </c>
      <c r="J49" s="43">
        <v>45754</v>
      </c>
      <c r="K49" s="3" t="s">
        <v>66</v>
      </c>
    </row>
    <row r="50" spans="1:11" ht="28.8" hidden="1" x14ac:dyDescent="0.55000000000000004">
      <c r="A50" s="41" t="s">
        <v>173</v>
      </c>
      <c r="B50" s="41" t="s">
        <v>428</v>
      </c>
      <c r="C50" s="41"/>
      <c r="D50" s="41"/>
      <c r="E50" s="42" t="s">
        <v>447</v>
      </c>
      <c r="F50" s="41" t="s">
        <v>467</v>
      </c>
      <c r="G50" s="41">
        <v>85</v>
      </c>
      <c r="H50" s="41"/>
      <c r="I50" s="41"/>
      <c r="J50" s="43">
        <v>45672</v>
      </c>
      <c r="K50" s="3" t="s">
        <v>66</v>
      </c>
    </row>
    <row r="51" spans="1:11" ht="28.8" hidden="1" x14ac:dyDescent="0.55000000000000004">
      <c r="A51" s="41" t="s">
        <v>173</v>
      </c>
      <c r="B51" s="41" t="s">
        <v>428</v>
      </c>
      <c r="C51" s="41"/>
      <c r="D51" s="41"/>
      <c r="E51" s="42" t="s">
        <v>448</v>
      </c>
      <c r="F51" s="41" t="s">
        <v>467</v>
      </c>
      <c r="G51" s="41">
        <v>85</v>
      </c>
      <c r="H51" s="41"/>
      <c r="I51" s="41"/>
      <c r="J51" s="43">
        <v>45689</v>
      </c>
      <c r="K51" s="41" t="s">
        <v>66</v>
      </c>
    </row>
    <row r="52" spans="1:11" hidden="1" x14ac:dyDescent="0.55000000000000004">
      <c r="A52" s="41" t="s">
        <v>173</v>
      </c>
      <c r="B52" s="41" t="s">
        <v>450</v>
      </c>
      <c r="C52" s="41"/>
      <c r="D52" s="41"/>
      <c r="E52" s="41" t="s">
        <v>512</v>
      </c>
      <c r="F52" s="41" t="s">
        <v>471</v>
      </c>
      <c r="G52" s="41">
        <v>4</v>
      </c>
      <c r="H52" s="41"/>
      <c r="I52" s="41"/>
      <c r="J52" s="43">
        <v>45717</v>
      </c>
      <c r="K52" s="41" t="s">
        <v>66</v>
      </c>
    </row>
    <row r="53" spans="1:11" s="48" customFormat="1" hidden="1" x14ac:dyDescent="0.55000000000000004">
      <c r="A53" s="41" t="s">
        <v>173</v>
      </c>
      <c r="B53" s="41" t="s">
        <v>415</v>
      </c>
      <c r="C53" s="41"/>
      <c r="D53" s="41"/>
      <c r="E53" s="41"/>
      <c r="F53" s="41" t="s">
        <v>475</v>
      </c>
      <c r="G53" s="41">
        <v>5</v>
      </c>
      <c r="H53" s="41"/>
      <c r="I53" s="41"/>
      <c r="J53" s="43">
        <v>45664</v>
      </c>
      <c r="K53" s="3" t="s">
        <v>66</v>
      </c>
    </row>
    <row r="54" spans="1:11" s="48" customFormat="1" ht="28.8" hidden="1" x14ac:dyDescent="0.55000000000000004">
      <c r="A54" s="1" t="s">
        <v>173</v>
      </c>
      <c r="B54" s="1" t="s">
        <v>417</v>
      </c>
      <c r="C54" s="1"/>
      <c r="D54" s="1"/>
      <c r="E54" s="3" t="s">
        <v>443</v>
      </c>
      <c r="F54" s="1" t="s">
        <v>439</v>
      </c>
      <c r="G54" s="1">
        <v>10</v>
      </c>
      <c r="H54" s="1"/>
      <c r="I54" s="1"/>
      <c r="J54" s="43">
        <v>45712</v>
      </c>
      <c r="K54" s="41" t="s">
        <v>66</v>
      </c>
    </row>
    <row r="55" spans="1:11" s="48" customFormat="1" ht="28.8" hidden="1" x14ac:dyDescent="0.55000000000000004">
      <c r="A55" s="1" t="s">
        <v>173</v>
      </c>
      <c r="B55" s="1" t="s">
        <v>413</v>
      </c>
      <c r="C55" s="1"/>
      <c r="D55" s="1"/>
      <c r="E55" s="3" t="s">
        <v>446</v>
      </c>
      <c r="F55" s="1" t="s">
        <v>440</v>
      </c>
      <c r="G55" s="1">
        <v>9</v>
      </c>
      <c r="H55" s="1"/>
      <c r="I55" s="1"/>
      <c r="J55" s="43">
        <v>45712</v>
      </c>
      <c r="K55" s="41" t="s">
        <v>66</v>
      </c>
    </row>
    <row r="56" spans="1:11" hidden="1" x14ac:dyDescent="0.55000000000000004">
      <c r="A56" s="1" t="s">
        <v>173</v>
      </c>
      <c r="B56" s="1" t="s">
        <v>390</v>
      </c>
      <c r="C56" s="1"/>
      <c r="D56" s="1"/>
      <c r="E56" s="1"/>
      <c r="F56" s="1" t="s">
        <v>394</v>
      </c>
      <c r="G56" s="1">
        <v>20</v>
      </c>
      <c r="H56" s="1"/>
      <c r="I56" s="1"/>
      <c r="J56" s="39">
        <v>45664</v>
      </c>
      <c r="K56" s="3" t="s">
        <v>66</v>
      </c>
    </row>
    <row r="57" spans="1:11" hidden="1" x14ac:dyDescent="0.55000000000000004">
      <c r="A57" s="1" t="s">
        <v>173</v>
      </c>
      <c r="B57" s="1" t="s">
        <v>412</v>
      </c>
      <c r="C57" s="1"/>
      <c r="D57" s="1"/>
      <c r="E57" s="1"/>
      <c r="F57" s="1" t="s">
        <v>411</v>
      </c>
      <c r="G57" s="1">
        <v>34</v>
      </c>
      <c r="H57" s="1"/>
      <c r="I57" s="1"/>
      <c r="J57" s="39">
        <v>45663</v>
      </c>
      <c r="K57" s="3" t="s">
        <v>66</v>
      </c>
    </row>
    <row r="58" spans="1:11" hidden="1" x14ac:dyDescent="0.55000000000000004">
      <c r="A58" s="41" t="s">
        <v>173</v>
      </c>
      <c r="B58" s="41" t="s">
        <v>410</v>
      </c>
      <c r="C58" s="41"/>
      <c r="D58" s="41"/>
      <c r="E58" s="41"/>
      <c r="F58" s="41" t="s">
        <v>466</v>
      </c>
      <c r="G58" s="41">
        <v>42</v>
      </c>
      <c r="H58" s="41"/>
      <c r="I58" s="41"/>
      <c r="J58" s="43">
        <v>45688</v>
      </c>
      <c r="K58" s="3" t="s">
        <v>66</v>
      </c>
    </row>
    <row r="59" spans="1:11" hidden="1" x14ac:dyDescent="0.55000000000000004">
      <c r="A59" s="41" t="s">
        <v>578</v>
      </c>
      <c r="B59" s="41" t="s">
        <v>580</v>
      </c>
      <c r="C59" s="41"/>
      <c r="D59" s="41"/>
      <c r="E59" s="41"/>
      <c r="F59" s="41" t="s">
        <v>579</v>
      </c>
      <c r="G59" s="41">
        <v>140</v>
      </c>
      <c r="H59" s="41"/>
      <c r="I59" s="41"/>
      <c r="J59" s="43">
        <v>45800</v>
      </c>
      <c r="K59" s="41" t="s">
        <v>66</v>
      </c>
    </row>
    <row r="60" spans="1:11" hidden="1" x14ac:dyDescent="0.55000000000000004">
      <c r="A60" s="41" t="s">
        <v>8</v>
      </c>
      <c r="B60" s="41" t="s">
        <v>628</v>
      </c>
      <c r="C60" s="41"/>
      <c r="D60" s="41"/>
      <c r="E60" s="41"/>
      <c r="F60" s="41" t="s">
        <v>251</v>
      </c>
      <c r="G60" s="41">
        <v>14</v>
      </c>
      <c r="H60" s="41"/>
      <c r="I60" s="41"/>
      <c r="J60" s="43">
        <v>45912</v>
      </c>
      <c r="K60" s="41" t="s">
        <v>66</v>
      </c>
    </row>
    <row r="61" spans="1:11" s="48" customFormat="1" hidden="1" x14ac:dyDescent="0.55000000000000004">
      <c r="A61" s="41" t="s">
        <v>8</v>
      </c>
      <c r="B61" s="41" t="s">
        <v>627</v>
      </c>
      <c r="C61" s="41"/>
      <c r="D61" s="41"/>
      <c r="E61" s="41"/>
      <c r="F61" s="41" t="s">
        <v>254</v>
      </c>
      <c r="G61" s="41">
        <v>14</v>
      </c>
      <c r="H61" s="41"/>
      <c r="I61" s="41"/>
      <c r="J61" s="43">
        <v>45912</v>
      </c>
      <c r="K61" s="41" t="s">
        <v>66</v>
      </c>
    </row>
    <row r="62" spans="1:11" s="48" customFormat="1" hidden="1" x14ac:dyDescent="0.55000000000000004">
      <c r="A62" s="41" t="s">
        <v>8</v>
      </c>
      <c r="B62" s="41" t="s">
        <v>601</v>
      </c>
      <c r="C62" s="41"/>
      <c r="D62" s="41"/>
      <c r="E62" s="41"/>
      <c r="F62" s="41" t="s">
        <v>602</v>
      </c>
      <c r="G62" s="41">
        <v>10</v>
      </c>
      <c r="H62" s="41">
        <v>1</v>
      </c>
      <c r="I62" s="41">
        <v>9</v>
      </c>
      <c r="J62" s="43">
        <v>45889</v>
      </c>
      <c r="K62" s="41" t="s">
        <v>66</v>
      </c>
    </row>
    <row r="63" spans="1:11" hidden="1" x14ac:dyDescent="0.55000000000000004">
      <c r="A63" s="41" t="s">
        <v>8</v>
      </c>
      <c r="B63" s="41" t="s">
        <v>547</v>
      </c>
      <c r="C63" s="41"/>
      <c r="D63" s="41"/>
      <c r="E63" s="41"/>
      <c r="F63" s="41" t="s">
        <v>251</v>
      </c>
      <c r="G63" s="41">
        <v>30</v>
      </c>
      <c r="H63" s="41"/>
      <c r="I63" s="41"/>
      <c r="J63" s="43">
        <v>45782</v>
      </c>
      <c r="K63" s="41" t="s">
        <v>66</v>
      </c>
    </row>
    <row r="64" spans="1:11" s="48" customFormat="1" hidden="1" x14ac:dyDescent="0.55000000000000004">
      <c r="A64" s="41" t="s">
        <v>8</v>
      </c>
      <c r="B64" s="41" t="s">
        <v>546</v>
      </c>
      <c r="C64" s="41"/>
      <c r="D64" s="41"/>
      <c r="E64" s="41"/>
      <c r="F64" s="41" t="s">
        <v>254</v>
      </c>
      <c r="G64" s="41">
        <v>60</v>
      </c>
      <c r="H64" s="41"/>
      <c r="I64" s="41"/>
      <c r="J64" s="43">
        <v>45782</v>
      </c>
      <c r="K64" s="41" t="s">
        <v>66</v>
      </c>
    </row>
    <row r="65" spans="1:11" s="48" customFormat="1" hidden="1" x14ac:dyDescent="0.55000000000000004">
      <c r="A65" s="1" t="s">
        <v>8</v>
      </c>
      <c r="B65" s="1" t="s">
        <v>253</v>
      </c>
      <c r="C65" s="1" t="s">
        <v>285</v>
      </c>
      <c r="D65" s="1" t="s">
        <v>373</v>
      </c>
      <c r="E65" s="1"/>
      <c r="F65" s="1" t="s">
        <v>254</v>
      </c>
      <c r="G65" s="1">
        <v>60</v>
      </c>
      <c r="H65" s="1">
        <v>31</v>
      </c>
      <c r="I65" s="1">
        <f>G65-H65</f>
        <v>29</v>
      </c>
      <c r="J65" s="39">
        <v>45566</v>
      </c>
      <c r="K65" s="3" t="s">
        <v>66</v>
      </c>
    </row>
    <row r="66" spans="1:11" hidden="1" x14ac:dyDescent="0.55000000000000004">
      <c r="A66" s="41" t="s">
        <v>476</v>
      </c>
      <c r="B66" s="41">
        <v>4500598392</v>
      </c>
      <c r="C66" s="41"/>
      <c r="D66" s="41"/>
      <c r="E66" s="41"/>
      <c r="F66" s="41" t="s">
        <v>616</v>
      </c>
      <c r="G66" s="41">
        <v>50</v>
      </c>
      <c r="H66" s="41"/>
      <c r="I66" s="41"/>
      <c r="J66" s="43">
        <v>45883</v>
      </c>
      <c r="K66" s="41" t="s">
        <v>66</v>
      </c>
    </row>
    <row r="67" spans="1:11" hidden="1" x14ac:dyDescent="0.55000000000000004">
      <c r="A67" s="3" t="s">
        <v>476</v>
      </c>
      <c r="B67" s="3">
        <v>4500571703</v>
      </c>
      <c r="C67" s="3"/>
      <c r="D67" s="3"/>
      <c r="E67" s="3"/>
      <c r="F67" s="3" t="s">
        <v>477</v>
      </c>
      <c r="G67" s="3">
        <v>50</v>
      </c>
      <c r="H67" s="3"/>
      <c r="I67" s="3"/>
      <c r="J67" s="40"/>
      <c r="K67" s="3" t="s">
        <v>66</v>
      </c>
    </row>
    <row r="68" spans="1:11" hidden="1" x14ac:dyDescent="0.55000000000000004">
      <c r="A68" s="41" t="s">
        <v>81</v>
      </c>
      <c r="B68" s="41">
        <v>20025226</v>
      </c>
      <c r="C68" s="41"/>
      <c r="D68" s="41"/>
      <c r="E68" s="41"/>
      <c r="F68" s="41" t="s">
        <v>630</v>
      </c>
      <c r="G68" s="41">
        <v>25</v>
      </c>
      <c r="H68" s="41"/>
      <c r="I68" s="41"/>
      <c r="J68" s="43">
        <v>45899</v>
      </c>
      <c r="K68" s="41" t="s">
        <v>66</v>
      </c>
    </row>
    <row r="69" spans="1:11" hidden="1" x14ac:dyDescent="0.55000000000000004">
      <c r="A69" s="3" t="s">
        <v>45</v>
      </c>
      <c r="B69" s="3">
        <v>2500420</v>
      </c>
      <c r="C69" s="3"/>
      <c r="D69" s="3"/>
      <c r="E69" s="3"/>
      <c r="F69" s="3" t="s">
        <v>514</v>
      </c>
      <c r="G69" s="3">
        <v>25</v>
      </c>
      <c r="H69" s="3"/>
      <c r="I69" s="3"/>
      <c r="J69" s="40">
        <v>45703</v>
      </c>
      <c r="K69" s="3" t="s">
        <v>66</v>
      </c>
    </row>
    <row r="70" spans="1:11" s="48" customFormat="1" hidden="1" x14ac:dyDescent="0.55000000000000004">
      <c r="A70" s="3" t="s">
        <v>45</v>
      </c>
      <c r="B70" s="3">
        <v>2500420</v>
      </c>
      <c r="C70" s="3"/>
      <c r="D70" s="3"/>
      <c r="E70" s="3"/>
      <c r="F70" s="3" t="s">
        <v>522</v>
      </c>
      <c r="G70" s="3">
        <v>50</v>
      </c>
      <c r="H70" s="3">
        <v>50</v>
      </c>
      <c r="I70" s="3">
        <v>0</v>
      </c>
      <c r="J70" s="40">
        <v>45703</v>
      </c>
      <c r="K70" s="3" t="s">
        <v>66</v>
      </c>
    </row>
    <row r="71" spans="1:11" s="48" customFormat="1" hidden="1" x14ac:dyDescent="0.55000000000000004">
      <c r="A71" s="3" t="s">
        <v>45</v>
      </c>
      <c r="B71" s="3">
        <v>2500420</v>
      </c>
      <c r="C71" s="3"/>
      <c r="D71" s="3"/>
      <c r="E71" s="3"/>
      <c r="F71" s="3" t="s">
        <v>518</v>
      </c>
      <c r="G71" s="3">
        <v>102</v>
      </c>
      <c r="H71" s="3">
        <f>66+39</f>
        <v>105</v>
      </c>
      <c r="I71" s="3">
        <f>G71-H71</f>
        <v>-3</v>
      </c>
      <c r="J71" s="40">
        <v>45703</v>
      </c>
      <c r="K71" s="3" t="s">
        <v>66</v>
      </c>
    </row>
    <row r="72" spans="1:11" s="48" customFormat="1" hidden="1" x14ac:dyDescent="0.55000000000000004">
      <c r="A72" s="3" t="s">
        <v>45</v>
      </c>
      <c r="B72" s="3">
        <v>2500420</v>
      </c>
      <c r="C72" s="3"/>
      <c r="D72" s="3"/>
      <c r="E72" s="3"/>
      <c r="F72" s="3" t="s">
        <v>520</v>
      </c>
      <c r="G72" s="3">
        <v>44</v>
      </c>
      <c r="H72" s="3">
        <f>33+4</f>
        <v>37</v>
      </c>
      <c r="I72" s="3">
        <f>G72-H72</f>
        <v>7</v>
      </c>
      <c r="J72" s="40">
        <v>45703</v>
      </c>
      <c r="K72" s="3" t="s">
        <v>66</v>
      </c>
    </row>
    <row r="73" spans="1:11" s="48" customFormat="1" hidden="1" x14ac:dyDescent="0.55000000000000004">
      <c r="A73" s="3" t="s">
        <v>45</v>
      </c>
      <c r="B73" s="3">
        <v>2500420</v>
      </c>
      <c r="C73" s="3"/>
      <c r="D73" s="3"/>
      <c r="E73" s="3"/>
      <c r="F73" s="3" t="s">
        <v>515</v>
      </c>
      <c r="G73" s="3">
        <v>20</v>
      </c>
      <c r="H73" s="3">
        <v>20</v>
      </c>
      <c r="I73" s="3">
        <v>0</v>
      </c>
      <c r="J73" s="40">
        <v>45703</v>
      </c>
      <c r="K73" s="3" t="s">
        <v>66</v>
      </c>
    </row>
    <row r="74" spans="1:11" s="48" customFormat="1" hidden="1" x14ac:dyDescent="0.55000000000000004">
      <c r="A74" s="3" t="s">
        <v>45</v>
      </c>
      <c r="B74" s="3">
        <v>2500420</v>
      </c>
      <c r="C74" s="3"/>
      <c r="D74" s="3"/>
      <c r="E74" s="3"/>
      <c r="F74" s="3" t="s">
        <v>516</v>
      </c>
      <c r="G74" s="3">
        <v>50</v>
      </c>
      <c r="H74" s="3"/>
      <c r="I74" s="3"/>
      <c r="J74" s="40">
        <v>45703</v>
      </c>
      <c r="K74" s="41" t="s">
        <v>66</v>
      </c>
    </row>
    <row r="75" spans="1:11" s="48" customFormat="1" hidden="1" x14ac:dyDescent="0.55000000000000004">
      <c r="A75" s="3" t="s">
        <v>45</v>
      </c>
      <c r="B75" s="3">
        <v>2500420</v>
      </c>
      <c r="C75" s="3"/>
      <c r="D75" s="3"/>
      <c r="E75" s="3"/>
      <c r="F75" s="3" t="s">
        <v>523</v>
      </c>
      <c r="G75" s="3">
        <v>64</v>
      </c>
      <c r="H75" s="3"/>
      <c r="I75" s="3"/>
      <c r="J75" s="40">
        <v>45703</v>
      </c>
      <c r="K75" s="41" t="s">
        <v>66</v>
      </c>
    </row>
    <row r="76" spans="1:11" s="48" customFormat="1" hidden="1" x14ac:dyDescent="0.55000000000000004">
      <c r="A76" s="3" t="s">
        <v>45</v>
      </c>
      <c r="B76" s="3">
        <v>2500420</v>
      </c>
      <c r="C76" s="3"/>
      <c r="D76" s="3"/>
      <c r="E76" s="3"/>
      <c r="F76" s="3" t="s">
        <v>519</v>
      </c>
      <c r="G76" s="3">
        <v>15</v>
      </c>
      <c r="H76" s="3"/>
      <c r="I76" s="3"/>
      <c r="J76" s="40">
        <v>45703</v>
      </c>
      <c r="K76" s="41" t="s">
        <v>66</v>
      </c>
    </row>
    <row r="77" spans="1:11" s="48" customFormat="1" hidden="1" x14ac:dyDescent="0.55000000000000004">
      <c r="A77" s="3" t="s">
        <v>45</v>
      </c>
      <c r="B77" s="3">
        <v>2500420</v>
      </c>
      <c r="C77" s="3"/>
      <c r="D77" s="3"/>
      <c r="E77" s="3"/>
      <c r="F77" s="3" t="s">
        <v>521</v>
      </c>
      <c r="G77" s="3">
        <v>15</v>
      </c>
      <c r="H77" s="3"/>
      <c r="I77" s="3"/>
      <c r="J77" s="40">
        <v>45703</v>
      </c>
      <c r="K77" s="41" t="s">
        <v>66</v>
      </c>
    </row>
    <row r="78" spans="1:11" s="48" customFormat="1" hidden="1" x14ac:dyDescent="0.55000000000000004">
      <c r="A78" s="3" t="s">
        <v>45</v>
      </c>
      <c r="B78" s="3">
        <v>2500420</v>
      </c>
      <c r="C78" s="3"/>
      <c r="D78" s="3"/>
      <c r="E78" s="3"/>
      <c r="F78" s="3" t="s">
        <v>525</v>
      </c>
      <c r="G78" s="3">
        <v>35</v>
      </c>
      <c r="H78" s="3"/>
      <c r="I78" s="3"/>
      <c r="J78" s="40">
        <v>45703</v>
      </c>
      <c r="K78" s="41" t="s">
        <v>66</v>
      </c>
    </row>
    <row r="79" spans="1:11" s="48" customFormat="1" ht="19.5" hidden="1" customHeight="1" x14ac:dyDescent="0.55000000000000004">
      <c r="A79" s="3" t="s">
        <v>45</v>
      </c>
      <c r="B79" s="3">
        <v>2500420</v>
      </c>
      <c r="C79" s="3"/>
      <c r="D79" s="3"/>
      <c r="E79" s="3"/>
      <c r="F79" s="3" t="s">
        <v>524</v>
      </c>
      <c r="G79" s="3">
        <v>72</v>
      </c>
      <c r="H79" s="3">
        <v>72</v>
      </c>
      <c r="I79" s="3">
        <f>G79-H79</f>
        <v>0</v>
      </c>
      <c r="J79" s="40">
        <v>45703</v>
      </c>
      <c r="K79" s="41" t="s">
        <v>66</v>
      </c>
    </row>
    <row r="80" spans="1:11" s="48" customFormat="1" hidden="1" x14ac:dyDescent="0.55000000000000004">
      <c r="A80" s="3" t="s">
        <v>45</v>
      </c>
      <c r="B80" s="3">
        <v>2500420</v>
      </c>
      <c r="C80" s="3"/>
      <c r="D80" s="3"/>
      <c r="E80" s="3"/>
      <c r="F80" s="3" t="s">
        <v>526</v>
      </c>
      <c r="G80" s="3">
        <v>48</v>
      </c>
      <c r="H80" s="3">
        <v>48</v>
      </c>
      <c r="I80" s="3">
        <f>G80-H80</f>
        <v>0</v>
      </c>
      <c r="J80" s="40">
        <v>45703</v>
      </c>
      <c r="K80" s="41" t="s">
        <v>66</v>
      </c>
    </row>
    <row r="81" spans="1:11" s="48" customFormat="1" hidden="1" x14ac:dyDescent="0.55000000000000004">
      <c r="A81" s="3" t="s">
        <v>45</v>
      </c>
      <c r="B81" s="3">
        <v>2500420</v>
      </c>
      <c r="C81" s="3"/>
      <c r="D81" s="3"/>
      <c r="E81" s="3"/>
      <c r="F81" s="3" t="s">
        <v>527</v>
      </c>
      <c r="G81" s="3">
        <v>26</v>
      </c>
      <c r="H81" s="3"/>
      <c r="I81" s="3"/>
      <c r="J81" s="40">
        <v>45703</v>
      </c>
      <c r="K81" s="41" t="s">
        <v>66</v>
      </c>
    </row>
    <row r="82" spans="1:11" s="48" customFormat="1" ht="20.25" hidden="1" customHeight="1" x14ac:dyDescent="0.55000000000000004">
      <c r="A82" s="3" t="s">
        <v>45</v>
      </c>
      <c r="B82" s="3">
        <v>2500420</v>
      </c>
      <c r="C82" s="3"/>
      <c r="D82" s="3"/>
      <c r="E82" s="3"/>
      <c r="F82" s="3" t="s">
        <v>517</v>
      </c>
      <c r="G82" s="3">
        <v>50</v>
      </c>
      <c r="H82" s="3">
        <f>22+20+8</f>
        <v>50</v>
      </c>
      <c r="I82" s="3">
        <f>G82-H82</f>
        <v>0</v>
      </c>
      <c r="J82" s="40">
        <v>45703</v>
      </c>
      <c r="K82" s="41" t="s">
        <v>66</v>
      </c>
    </row>
    <row r="83" spans="1:11" s="48" customFormat="1" hidden="1" x14ac:dyDescent="0.55000000000000004">
      <c r="A83" s="41" t="s">
        <v>81</v>
      </c>
      <c r="B83" s="41">
        <v>2025295</v>
      </c>
      <c r="C83" s="41" t="s">
        <v>664</v>
      </c>
      <c r="D83" s="41"/>
      <c r="E83" s="41"/>
      <c r="F83" s="41" t="s">
        <v>647</v>
      </c>
      <c r="G83" s="41">
        <v>10</v>
      </c>
      <c r="H83" s="41"/>
      <c r="I83" s="41"/>
      <c r="J83" s="43">
        <v>45971</v>
      </c>
      <c r="K83" s="41" t="s">
        <v>66</v>
      </c>
    </row>
    <row r="84" spans="1:11" s="48" customFormat="1" hidden="1" x14ac:dyDescent="0.55000000000000004">
      <c r="A84" s="41" t="s">
        <v>81</v>
      </c>
      <c r="B84" s="41">
        <v>2025293</v>
      </c>
      <c r="C84" s="41"/>
      <c r="D84" s="41"/>
      <c r="E84" s="41"/>
      <c r="F84" s="41" t="s">
        <v>646</v>
      </c>
      <c r="G84" s="41">
        <v>6</v>
      </c>
      <c r="H84" s="41"/>
      <c r="I84" s="41"/>
      <c r="J84" s="43">
        <v>45964</v>
      </c>
      <c r="K84" s="41" t="s">
        <v>66</v>
      </c>
    </row>
    <row r="85" spans="1:11" s="48" customFormat="1" hidden="1" x14ac:dyDescent="0.55000000000000004">
      <c r="A85" s="41" t="s">
        <v>81</v>
      </c>
      <c r="B85" s="41">
        <v>2025286</v>
      </c>
      <c r="C85" s="41" t="s">
        <v>663</v>
      </c>
      <c r="D85" s="41"/>
      <c r="E85" s="41"/>
      <c r="F85" s="41" t="s">
        <v>645</v>
      </c>
      <c r="G85" s="41">
        <v>20</v>
      </c>
      <c r="H85" s="41"/>
      <c r="I85" s="41"/>
      <c r="J85" s="43">
        <v>45945</v>
      </c>
      <c r="K85" s="41" t="s">
        <v>66</v>
      </c>
    </row>
    <row r="86" spans="1:11" s="48" customFormat="1" hidden="1" x14ac:dyDescent="0.55000000000000004">
      <c r="A86" s="41" t="s">
        <v>81</v>
      </c>
      <c r="B86" s="41">
        <v>2025282</v>
      </c>
      <c r="C86" s="41" t="s">
        <v>677</v>
      </c>
      <c r="D86" s="41"/>
      <c r="E86" s="41"/>
      <c r="F86" s="41" t="s">
        <v>643</v>
      </c>
      <c r="G86" s="41">
        <v>7</v>
      </c>
      <c r="H86" s="41"/>
      <c r="I86" s="41"/>
      <c r="J86" s="43">
        <v>45955</v>
      </c>
      <c r="K86" s="41" t="s">
        <v>66</v>
      </c>
    </row>
    <row r="87" spans="1:11" s="48" customFormat="1" hidden="1" x14ac:dyDescent="0.55000000000000004">
      <c r="A87" s="41" t="s">
        <v>81</v>
      </c>
      <c r="B87" s="41">
        <v>2025266</v>
      </c>
      <c r="C87" s="41" t="s">
        <v>665</v>
      </c>
      <c r="D87" s="41"/>
      <c r="E87" s="41"/>
      <c r="F87" s="41" t="s">
        <v>639</v>
      </c>
      <c r="G87" s="41">
        <v>25</v>
      </c>
      <c r="H87" s="41"/>
      <c r="I87" s="41"/>
      <c r="J87" s="43">
        <v>45940</v>
      </c>
      <c r="K87" s="41" t="s">
        <v>66</v>
      </c>
    </row>
    <row r="88" spans="1:11" hidden="1" x14ac:dyDescent="0.55000000000000004">
      <c r="A88" s="41" t="s">
        <v>81</v>
      </c>
      <c r="B88" s="41">
        <v>2025260</v>
      </c>
      <c r="C88" s="41"/>
      <c r="D88" s="41"/>
      <c r="E88" s="41"/>
      <c r="F88" s="41" t="s">
        <v>190</v>
      </c>
      <c r="G88" s="41">
        <v>100</v>
      </c>
      <c r="H88" s="41"/>
      <c r="I88" s="41"/>
      <c r="J88" s="43">
        <v>45940</v>
      </c>
      <c r="K88" s="41" t="s">
        <v>66</v>
      </c>
    </row>
    <row r="89" spans="1:11" s="48" customFormat="1" hidden="1" x14ac:dyDescent="0.55000000000000004">
      <c r="A89" s="41" t="s">
        <v>81</v>
      </c>
      <c r="B89" s="41">
        <v>2025253</v>
      </c>
      <c r="C89" s="41"/>
      <c r="D89" s="41"/>
      <c r="E89" s="41"/>
      <c r="F89" s="41" t="s">
        <v>636</v>
      </c>
      <c r="G89" s="41">
        <v>25</v>
      </c>
      <c r="H89" s="41"/>
      <c r="I89" s="41"/>
      <c r="J89" s="43">
        <v>45925</v>
      </c>
      <c r="K89" s="41" t="s">
        <v>66</v>
      </c>
    </row>
    <row r="90" spans="1:11" s="48" customFormat="1" hidden="1" x14ac:dyDescent="0.55000000000000004">
      <c r="A90" s="41" t="s">
        <v>81</v>
      </c>
      <c r="B90" s="41">
        <v>2025237</v>
      </c>
      <c r="C90" s="41"/>
      <c r="D90" s="41"/>
      <c r="E90" s="41"/>
      <c r="F90" s="41" t="s">
        <v>510</v>
      </c>
      <c r="G90" s="41">
        <v>5</v>
      </c>
      <c r="H90" s="41"/>
      <c r="I90" s="41"/>
      <c r="J90" s="43">
        <v>45910</v>
      </c>
      <c r="K90" s="41" t="s">
        <v>66</v>
      </c>
    </row>
    <row r="91" spans="1:11" s="48" customFormat="1" ht="57.6" hidden="1" x14ac:dyDescent="0.55000000000000004">
      <c r="A91" s="41" t="s">
        <v>81</v>
      </c>
      <c r="B91" s="41">
        <v>2025236</v>
      </c>
      <c r="C91" s="41"/>
      <c r="D91" s="41"/>
      <c r="E91" s="41"/>
      <c r="F91" s="42" t="s">
        <v>633</v>
      </c>
      <c r="G91" s="41">
        <v>4</v>
      </c>
      <c r="H91" s="41"/>
      <c r="I91" s="41"/>
      <c r="J91" s="43">
        <v>45889</v>
      </c>
      <c r="K91" s="41" t="s">
        <v>66</v>
      </c>
    </row>
    <row r="92" spans="1:11" s="48" customFormat="1" ht="28.8" hidden="1" x14ac:dyDescent="0.55000000000000004">
      <c r="A92" s="41" t="s">
        <v>81</v>
      </c>
      <c r="B92" s="41">
        <v>2025236</v>
      </c>
      <c r="C92" s="41"/>
      <c r="D92" s="41"/>
      <c r="E92" s="41"/>
      <c r="F92" s="42" t="s">
        <v>634</v>
      </c>
      <c r="G92" s="41">
        <v>1</v>
      </c>
      <c r="H92" s="41"/>
      <c r="I92" s="41"/>
      <c r="J92" s="43">
        <v>45889</v>
      </c>
      <c r="K92" s="41" t="s">
        <v>66</v>
      </c>
    </row>
    <row r="93" spans="1:11" s="48" customFormat="1" hidden="1" x14ac:dyDescent="0.55000000000000004">
      <c r="A93" s="41" t="s">
        <v>81</v>
      </c>
      <c r="B93" s="41">
        <v>2025225</v>
      </c>
      <c r="C93" s="41"/>
      <c r="D93" s="41"/>
      <c r="E93" s="41"/>
      <c r="F93" s="41" t="s">
        <v>631</v>
      </c>
      <c r="G93" s="41">
        <v>60</v>
      </c>
      <c r="H93" s="41"/>
      <c r="I93" s="41"/>
      <c r="J93" s="43">
        <v>45889</v>
      </c>
      <c r="K93" s="41" t="s">
        <v>66</v>
      </c>
    </row>
    <row r="94" spans="1:11" s="48" customFormat="1" hidden="1" x14ac:dyDescent="0.55000000000000004">
      <c r="A94" s="41" t="s">
        <v>81</v>
      </c>
      <c r="B94" s="41">
        <v>2025221</v>
      </c>
      <c r="C94" s="41"/>
      <c r="D94" s="41"/>
      <c r="E94" s="41"/>
      <c r="F94" s="41" t="s">
        <v>629</v>
      </c>
      <c r="G94" s="41">
        <v>50</v>
      </c>
      <c r="H94" s="41"/>
      <c r="I94" s="41"/>
      <c r="J94" s="43">
        <v>46019</v>
      </c>
      <c r="K94" s="41" t="s">
        <v>66</v>
      </c>
    </row>
    <row r="95" spans="1:11" s="48" customFormat="1" hidden="1" x14ac:dyDescent="0.55000000000000004">
      <c r="A95" s="41" t="s">
        <v>81</v>
      </c>
      <c r="B95" s="41">
        <v>2025220</v>
      </c>
      <c r="C95" s="41"/>
      <c r="D95" s="41"/>
      <c r="E95" s="41"/>
      <c r="F95" s="41" t="s">
        <v>621</v>
      </c>
      <c r="G95" s="41">
        <v>60</v>
      </c>
      <c r="H95" s="41"/>
      <c r="I95" s="41"/>
      <c r="J95" s="43">
        <v>45884</v>
      </c>
      <c r="K95" s="41" t="s">
        <v>66</v>
      </c>
    </row>
    <row r="96" spans="1:11" s="48" customFormat="1" hidden="1" x14ac:dyDescent="0.55000000000000004">
      <c r="A96" s="41" t="s">
        <v>81</v>
      </c>
      <c r="B96" s="41">
        <v>2025219</v>
      </c>
      <c r="C96" s="41"/>
      <c r="D96" s="41"/>
      <c r="E96" s="41"/>
      <c r="F96" s="41" t="s">
        <v>622</v>
      </c>
      <c r="G96" s="41">
        <v>25</v>
      </c>
      <c r="H96" s="41"/>
      <c r="I96" s="41"/>
      <c r="J96" s="43">
        <v>45884</v>
      </c>
      <c r="K96" s="41" t="s">
        <v>66</v>
      </c>
    </row>
    <row r="97" spans="1:11" s="58" customFormat="1" hidden="1" x14ac:dyDescent="0.55000000000000004">
      <c r="A97" s="41" t="s">
        <v>81</v>
      </c>
      <c r="B97" s="41">
        <v>2025177</v>
      </c>
      <c r="C97" s="41"/>
      <c r="D97" s="41"/>
      <c r="E97" s="41"/>
      <c r="F97" s="41" t="s">
        <v>599</v>
      </c>
      <c r="G97" s="41">
        <v>15</v>
      </c>
      <c r="H97" s="41"/>
      <c r="I97" s="41"/>
      <c r="J97" s="43">
        <v>45854</v>
      </c>
      <c r="K97" s="41" t="s">
        <v>66</v>
      </c>
    </row>
    <row r="98" spans="1:11" s="48" customFormat="1" hidden="1" x14ac:dyDescent="0.55000000000000004">
      <c r="A98" s="41" t="s">
        <v>81</v>
      </c>
      <c r="B98" s="41">
        <v>2025177</v>
      </c>
      <c r="C98" s="41"/>
      <c r="D98" s="41"/>
      <c r="E98" s="41"/>
      <c r="F98" s="41" t="s">
        <v>600</v>
      </c>
      <c r="G98" s="41">
        <v>35</v>
      </c>
      <c r="H98" s="41"/>
      <c r="I98" s="41"/>
      <c r="J98" s="43">
        <v>45854</v>
      </c>
      <c r="K98" s="41" t="s">
        <v>66</v>
      </c>
    </row>
    <row r="99" spans="1:11" s="58" customFormat="1" ht="19.5" hidden="1" customHeight="1" x14ac:dyDescent="0.55000000000000004">
      <c r="A99" s="41" t="s">
        <v>81</v>
      </c>
      <c r="B99" s="41">
        <v>2025168</v>
      </c>
      <c r="C99" s="41"/>
      <c r="D99" s="41"/>
      <c r="E99" s="41" t="s">
        <v>607</v>
      </c>
      <c r="F99" s="41" t="s">
        <v>592</v>
      </c>
      <c r="G99" s="3">
        <v>45</v>
      </c>
      <c r="H99" s="41"/>
      <c r="I99" s="41"/>
      <c r="J99" s="43">
        <v>45855</v>
      </c>
      <c r="K99" s="41" t="s">
        <v>66</v>
      </c>
    </row>
    <row r="100" spans="1:11" s="48" customFormat="1" hidden="1" x14ac:dyDescent="0.55000000000000004">
      <c r="A100" s="41" t="s">
        <v>81</v>
      </c>
      <c r="B100" s="41">
        <v>2025152</v>
      </c>
      <c r="C100" s="41"/>
      <c r="D100" s="41"/>
      <c r="E100" s="41" t="s">
        <v>583</v>
      </c>
      <c r="F100" s="41" t="s">
        <v>571</v>
      </c>
      <c r="G100" s="41">
        <v>50</v>
      </c>
      <c r="H100" s="41"/>
      <c r="I100" s="41"/>
      <c r="J100" s="43">
        <v>45807</v>
      </c>
      <c r="K100" s="3" t="s">
        <v>66</v>
      </c>
    </row>
    <row r="101" spans="1:11" hidden="1" x14ac:dyDescent="0.55000000000000004">
      <c r="A101" s="41" t="s">
        <v>81</v>
      </c>
      <c r="B101" s="41">
        <v>2025139</v>
      </c>
      <c r="C101" s="41"/>
      <c r="D101" s="41"/>
      <c r="E101" s="41" t="s">
        <v>576</v>
      </c>
      <c r="F101" s="41" t="s">
        <v>269</v>
      </c>
      <c r="G101" s="41">
        <v>60</v>
      </c>
      <c r="H101" s="41"/>
      <c r="I101" s="41"/>
      <c r="J101" s="43">
        <v>45807</v>
      </c>
      <c r="K101" s="3" t="s">
        <v>66</v>
      </c>
    </row>
    <row r="102" spans="1:11" hidden="1" x14ac:dyDescent="0.55000000000000004">
      <c r="A102" s="41" t="s">
        <v>81</v>
      </c>
      <c r="B102" s="41">
        <v>2025138</v>
      </c>
      <c r="C102" s="41"/>
      <c r="D102" s="41"/>
      <c r="E102" s="41" t="s">
        <v>575</v>
      </c>
      <c r="F102" s="41" t="s">
        <v>590</v>
      </c>
      <c r="G102" s="41">
        <v>100</v>
      </c>
      <c r="H102" s="41"/>
      <c r="I102" s="41"/>
      <c r="J102" s="43">
        <v>45799</v>
      </c>
      <c r="K102" s="3" t="s">
        <v>66</v>
      </c>
    </row>
    <row r="103" spans="1:11" s="48" customFormat="1" hidden="1" x14ac:dyDescent="0.55000000000000004">
      <c r="A103" s="41" t="s">
        <v>81</v>
      </c>
      <c r="B103" s="41">
        <v>2025134</v>
      </c>
      <c r="C103" s="41"/>
      <c r="D103" s="41"/>
      <c r="E103" s="41" t="s">
        <v>574</v>
      </c>
      <c r="F103" s="41" t="s">
        <v>560</v>
      </c>
      <c r="G103" s="41">
        <v>50</v>
      </c>
      <c r="H103" s="41"/>
      <c r="I103" s="41"/>
      <c r="J103" s="43">
        <v>45799</v>
      </c>
      <c r="K103" s="41" t="s">
        <v>66</v>
      </c>
    </row>
    <row r="104" spans="1:11" s="48" customFormat="1" hidden="1" x14ac:dyDescent="0.55000000000000004">
      <c r="A104" s="41" t="s">
        <v>81</v>
      </c>
      <c r="B104" s="41">
        <v>2025125</v>
      </c>
      <c r="C104" s="41"/>
      <c r="D104" s="41"/>
      <c r="E104" s="41" t="s">
        <v>573</v>
      </c>
      <c r="F104" s="41" t="s">
        <v>557</v>
      </c>
      <c r="G104" s="41">
        <v>5</v>
      </c>
      <c r="H104" s="41"/>
      <c r="I104" s="41"/>
      <c r="J104" s="43"/>
      <c r="K104" s="3" t="s">
        <v>66</v>
      </c>
    </row>
    <row r="105" spans="1:11" s="48" customFormat="1" hidden="1" x14ac:dyDescent="0.55000000000000004">
      <c r="A105" s="41" t="s">
        <v>81</v>
      </c>
      <c r="B105" s="41">
        <v>2025121</v>
      </c>
      <c r="C105" s="41"/>
      <c r="D105" s="41"/>
      <c r="E105" s="41" t="s">
        <v>562</v>
      </c>
      <c r="F105" s="41" t="s">
        <v>554</v>
      </c>
      <c r="G105" s="41">
        <v>3</v>
      </c>
      <c r="H105" s="41"/>
      <c r="I105" s="41"/>
      <c r="J105" s="43"/>
      <c r="K105" s="3" t="s">
        <v>66</v>
      </c>
    </row>
    <row r="106" spans="1:11" s="48" customFormat="1" hidden="1" x14ac:dyDescent="0.55000000000000004">
      <c r="A106" s="41" t="s">
        <v>81</v>
      </c>
      <c r="B106" s="41">
        <v>2025121</v>
      </c>
      <c r="C106" s="41"/>
      <c r="D106" s="41"/>
      <c r="E106" s="41" t="s">
        <v>563</v>
      </c>
      <c r="F106" s="41" t="s">
        <v>555</v>
      </c>
      <c r="G106" s="41">
        <v>5</v>
      </c>
      <c r="H106" s="41"/>
      <c r="I106" s="41"/>
      <c r="J106" s="43"/>
      <c r="K106" s="3" t="s">
        <v>66</v>
      </c>
    </row>
    <row r="107" spans="1:11" s="48" customFormat="1" hidden="1" x14ac:dyDescent="0.55000000000000004">
      <c r="A107" s="41" t="s">
        <v>81</v>
      </c>
      <c r="B107" s="41">
        <v>2025113</v>
      </c>
      <c r="C107" s="41"/>
      <c r="D107" s="41"/>
      <c r="E107" s="41" t="s">
        <v>553</v>
      </c>
      <c r="F107" s="41" t="s">
        <v>190</v>
      </c>
      <c r="G107" s="41">
        <v>100</v>
      </c>
      <c r="H107" s="41"/>
      <c r="I107" s="41"/>
      <c r="J107" s="43"/>
      <c r="K107" s="3" t="s">
        <v>66</v>
      </c>
    </row>
    <row r="108" spans="1:11" s="48" customFormat="1" hidden="1" x14ac:dyDescent="0.55000000000000004">
      <c r="A108" s="41" t="s">
        <v>81</v>
      </c>
      <c r="B108" s="41">
        <v>2025083</v>
      </c>
      <c r="C108" s="41"/>
      <c r="D108" s="41"/>
      <c r="E108" s="41" t="s">
        <v>556</v>
      </c>
      <c r="F108" s="41" t="s">
        <v>541</v>
      </c>
      <c r="G108" s="41">
        <v>20</v>
      </c>
      <c r="H108" s="41"/>
      <c r="I108" s="41"/>
      <c r="J108" s="40">
        <v>45777</v>
      </c>
      <c r="K108" s="3" t="s">
        <v>66</v>
      </c>
    </row>
    <row r="109" spans="1:11" s="48" customFormat="1" hidden="1" x14ac:dyDescent="0.55000000000000004">
      <c r="A109" s="41" t="s">
        <v>81</v>
      </c>
      <c r="B109" s="41">
        <v>2025082</v>
      </c>
      <c r="C109" s="41"/>
      <c r="D109" s="41"/>
      <c r="E109" s="41" t="s">
        <v>542</v>
      </c>
      <c r="F109" s="41" t="s">
        <v>538</v>
      </c>
      <c r="G109" s="41">
        <v>25</v>
      </c>
      <c r="H109" s="41"/>
      <c r="I109" s="41"/>
      <c r="J109" s="40">
        <v>45737</v>
      </c>
      <c r="K109" s="3" t="s">
        <v>66</v>
      </c>
    </row>
    <row r="110" spans="1:11" s="48" customFormat="1" hidden="1" x14ac:dyDescent="0.55000000000000004">
      <c r="A110" s="41" t="s">
        <v>81</v>
      </c>
      <c r="B110" s="41">
        <v>2025070</v>
      </c>
      <c r="C110" s="41"/>
      <c r="D110" s="41"/>
      <c r="E110" s="41" t="s">
        <v>552</v>
      </c>
      <c r="F110" s="41" t="s">
        <v>549</v>
      </c>
      <c r="G110" s="41">
        <v>50</v>
      </c>
      <c r="H110" s="41"/>
      <c r="I110" s="41"/>
      <c r="J110" s="43"/>
      <c r="K110" s="3" t="s">
        <v>66</v>
      </c>
    </row>
    <row r="111" spans="1:11" s="48" customFormat="1" hidden="1" x14ac:dyDescent="0.55000000000000004">
      <c r="A111" s="3" t="s">
        <v>81</v>
      </c>
      <c r="B111" s="3">
        <v>2025054</v>
      </c>
      <c r="C111" s="3"/>
      <c r="D111" s="3"/>
      <c r="E111" s="3" t="s">
        <v>577</v>
      </c>
      <c r="F111" s="3" t="s">
        <v>561</v>
      </c>
      <c r="G111" s="3">
        <v>36</v>
      </c>
      <c r="H111" s="3"/>
      <c r="I111" s="3"/>
      <c r="J111" s="40">
        <v>45744</v>
      </c>
      <c r="K111" s="41" t="s">
        <v>66</v>
      </c>
    </row>
    <row r="112" spans="1:11" s="48" customFormat="1" hidden="1" x14ac:dyDescent="0.55000000000000004">
      <c r="A112" s="3" t="s">
        <v>81</v>
      </c>
      <c r="B112" s="3">
        <v>2025052</v>
      </c>
      <c r="C112" s="3"/>
      <c r="D112" s="3"/>
      <c r="E112" s="3" t="s">
        <v>551</v>
      </c>
      <c r="F112" s="3" t="s">
        <v>510</v>
      </c>
      <c r="G112" s="3">
        <v>5</v>
      </c>
      <c r="H112" s="3"/>
      <c r="I112" s="3"/>
      <c r="J112" s="40">
        <v>45728</v>
      </c>
      <c r="K112" s="3" t="s">
        <v>66</v>
      </c>
    </row>
    <row r="113" spans="1:11" s="48" customFormat="1" hidden="1" x14ac:dyDescent="0.55000000000000004">
      <c r="A113" s="3" t="s">
        <v>81</v>
      </c>
      <c r="B113" s="3">
        <v>2025051</v>
      </c>
      <c r="C113" s="3"/>
      <c r="D113" s="3"/>
      <c r="E113" s="3"/>
      <c r="F113" s="3" t="s">
        <v>508</v>
      </c>
      <c r="G113" s="3">
        <v>3</v>
      </c>
      <c r="H113" s="3"/>
      <c r="I113" s="3"/>
      <c r="J113" s="40">
        <v>45728</v>
      </c>
      <c r="K113" s="3" t="s">
        <v>66</v>
      </c>
    </row>
    <row r="114" spans="1:11" s="58" customFormat="1" hidden="1" x14ac:dyDescent="0.55000000000000004">
      <c r="A114" s="3" t="s">
        <v>81</v>
      </c>
      <c r="B114" s="3">
        <v>2025051</v>
      </c>
      <c r="C114" s="3"/>
      <c r="D114" s="3"/>
      <c r="E114" s="3"/>
      <c r="F114" s="3" t="s">
        <v>509</v>
      </c>
      <c r="G114" s="3">
        <v>2</v>
      </c>
      <c r="H114" s="3"/>
      <c r="I114" s="3"/>
      <c r="J114" s="40">
        <v>45728</v>
      </c>
      <c r="K114" s="3" t="s">
        <v>66</v>
      </c>
    </row>
    <row r="115" spans="1:11" hidden="1" x14ac:dyDescent="0.55000000000000004">
      <c r="A115" s="41" t="s">
        <v>81</v>
      </c>
      <c r="B115" s="41">
        <v>2025043</v>
      </c>
      <c r="C115" s="41"/>
      <c r="D115" s="41"/>
      <c r="E115" s="41"/>
      <c r="F115" s="41" t="s">
        <v>506</v>
      </c>
      <c r="G115" s="41">
        <v>5</v>
      </c>
      <c r="H115" s="41"/>
      <c r="I115" s="41"/>
      <c r="J115" s="43">
        <v>45709</v>
      </c>
      <c r="K115" s="3" t="s">
        <v>66</v>
      </c>
    </row>
    <row r="116" spans="1:11" s="61" customFormat="1" hidden="1" x14ac:dyDescent="0.55000000000000004">
      <c r="A116" s="41" t="s">
        <v>81</v>
      </c>
      <c r="B116" s="41">
        <v>2025040</v>
      </c>
      <c r="C116" s="41"/>
      <c r="D116" s="41"/>
      <c r="E116" s="41"/>
      <c r="F116" s="41" t="s">
        <v>505</v>
      </c>
      <c r="G116" s="41">
        <v>10</v>
      </c>
      <c r="H116" s="41"/>
      <c r="I116" s="41"/>
      <c r="J116" s="43">
        <v>45709</v>
      </c>
      <c r="K116" s="3" t="s">
        <v>66</v>
      </c>
    </row>
    <row r="117" spans="1:11" s="58" customFormat="1" hidden="1" x14ac:dyDescent="0.55000000000000004">
      <c r="A117" s="41" t="s">
        <v>81</v>
      </c>
      <c r="B117" s="41">
        <v>2025032</v>
      </c>
      <c r="C117" s="41"/>
      <c r="D117" s="41"/>
      <c r="E117" s="41" t="s">
        <v>550</v>
      </c>
      <c r="F117" s="41" t="s">
        <v>407</v>
      </c>
      <c r="G117" s="41">
        <v>40</v>
      </c>
      <c r="H117" s="41"/>
      <c r="I117" s="41"/>
      <c r="J117" s="43">
        <v>45744</v>
      </c>
      <c r="K117" s="3" t="s">
        <v>66</v>
      </c>
    </row>
    <row r="118" spans="1:11" s="48" customFormat="1" ht="14.25" hidden="1" customHeight="1" x14ac:dyDescent="0.55000000000000004">
      <c r="A118" s="41" t="s">
        <v>81</v>
      </c>
      <c r="B118" s="41">
        <v>2025024</v>
      </c>
      <c r="C118" s="41" t="s">
        <v>496</v>
      </c>
      <c r="D118" s="41">
        <v>1</v>
      </c>
      <c r="E118" s="41" t="s">
        <v>495</v>
      </c>
      <c r="F118" s="41" t="s">
        <v>271</v>
      </c>
      <c r="G118" s="41">
        <v>50</v>
      </c>
      <c r="H118" s="41">
        <v>50</v>
      </c>
      <c r="I118" s="41">
        <f>G118-H118</f>
        <v>0</v>
      </c>
      <c r="J118" s="43">
        <v>45703</v>
      </c>
      <c r="K118" s="41" t="s">
        <v>66</v>
      </c>
    </row>
    <row r="119" spans="1:11" s="48" customFormat="1" hidden="1" x14ac:dyDescent="0.55000000000000004">
      <c r="A119" s="41" t="s">
        <v>81</v>
      </c>
      <c r="B119" s="41">
        <v>2025016</v>
      </c>
      <c r="C119" s="41" t="s">
        <v>494</v>
      </c>
      <c r="D119" s="41">
        <v>1</v>
      </c>
      <c r="E119" s="41" t="s">
        <v>487</v>
      </c>
      <c r="F119" s="41" t="s">
        <v>190</v>
      </c>
      <c r="G119" s="41">
        <v>100</v>
      </c>
      <c r="H119" s="41"/>
      <c r="I119" s="41"/>
      <c r="J119" s="43">
        <v>45677</v>
      </c>
      <c r="K119" s="3" t="s">
        <v>66</v>
      </c>
    </row>
    <row r="120" spans="1:11" s="48" customFormat="1" hidden="1" x14ac:dyDescent="0.55000000000000004">
      <c r="A120" s="41" t="s">
        <v>19</v>
      </c>
      <c r="B120" s="41">
        <v>109717</v>
      </c>
      <c r="C120" s="41"/>
      <c r="D120" s="41"/>
      <c r="E120" s="41"/>
      <c r="F120" s="1" t="s">
        <v>18</v>
      </c>
      <c r="G120" s="41">
        <v>105</v>
      </c>
      <c r="H120" s="41"/>
      <c r="I120" s="41"/>
      <c r="J120" s="43">
        <v>45848</v>
      </c>
      <c r="K120" s="41" t="s">
        <v>66</v>
      </c>
    </row>
    <row r="121" spans="1:11" s="48" customFormat="1" hidden="1" x14ac:dyDescent="0.55000000000000004">
      <c r="A121" s="41" t="s">
        <v>19</v>
      </c>
      <c r="B121" s="41">
        <v>108899</v>
      </c>
      <c r="C121" s="41"/>
      <c r="D121" s="41"/>
      <c r="E121" s="41"/>
      <c r="F121" s="41" t="s">
        <v>180</v>
      </c>
      <c r="G121" s="41">
        <v>300</v>
      </c>
      <c r="H121" s="41"/>
      <c r="I121" s="41"/>
      <c r="J121" s="43">
        <v>45778</v>
      </c>
      <c r="K121" s="3" t="s">
        <v>66</v>
      </c>
    </row>
    <row r="122" spans="1:11" s="48" customFormat="1" hidden="1" x14ac:dyDescent="0.55000000000000004">
      <c r="A122" s="1" t="s">
        <v>19</v>
      </c>
      <c r="B122" s="1">
        <v>104330</v>
      </c>
      <c r="C122" s="1" t="s">
        <v>289</v>
      </c>
      <c r="D122" s="1"/>
      <c r="E122" s="1" t="s">
        <v>310</v>
      </c>
      <c r="F122" s="1" t="s">
        <v>18</v>
      </c>
      <c r="G122" s="1">
        <v>105</v>
      </c>
      <c r="H122" s="1"/>
      <c r="I122" s="1"/>
      <c r="J122" s="39">
        <v>45641</v>
      </c>
      <c r="K122" s="1" t="s">
        <v>66</v>
      </c>
    </row>
    <row r="123" spans="1:11" s="48" customFormat="1" hidden="1" x14ac:dyDescent="0.55000000000000004">
      <c r="A123" s="41" t="s">
        <v>485</v>
      </c>
      <c r="B123" s="41">
        <v>90979</v>
      </c>
      <c r="C123" s="41"/>
      <c r="D123" s="41"/>
      <c r="E123" s="41" t="s">
        <v>528</v>
      </c>
      <c r="F123" s="41" t="s">
        <v>486</v>
      </c>
      <c r="G123" s="41">
        <v>12</v>
      </c>
      <c r="H123" s="41"/>
      <c r="I123" s="41"/>
      <c r="J123" s="39">
        <v>45694</v>
      </c>
      <c r="K123" s="3" t="s">
        <v>66</v>
      </c>
    </row>
    <row r="124" spans="1:11" s="48" customFormat="1" hidden="1" x14ac:dyDescent="0.55000000000000004">
      <c r="A124" s="41" t="s">
        <v>119</v>
      </c>
      <c r="B124" s="41">
        <v>14331</v>
      </c>
      <c r="C124" s="41"/>
      <c r="D124" s="41"/>
      <c r="E124" s="41"/>
      <c r="F124" s="41" t="s">
        <v>436</v>
      </c>
      <c r="G124" s="41">
        <v>100</v>
      </c>
      <c r="H124" s="41">
        <v>99</v>
      </c>
      <c r="I124" s="41">
        <v>1</v>
      </c>
      <c r="J124" s="43">
        <v>45912</v>
      </c>
      <c r="K124" s="41" t="s">
        <v>66</v>
      </c>
    </row>
    <row r="125" spans="1:11" s="58" customFormat="1" hidden="1" x14ac:dyDescent="0.55000000000000004">
      <c r="A125" s="1" t="s">
        <v>119</v>
      </c>
      <c r="B125" s="1">
        <v>14176</v>
      </c>
      <c r="C125" s="1" t="s">
        <v>438</v>
      </c>
      <c r="D125" s="1"/>
      <c r="E125" s="1"/>
      <c r="F125" s="1" t="s">
        <v>436</v>
      </c>
      <c r="G125" s="1">
        <v>50</v>
      </c>
      <c r="H125" s="1"/>
      <c r="I125" s="1"/>
      <c r="J125" s="39">
        <v>45681</v>
      </c>
      <c r="K125" s="41" t="s">
        <v>66</v>
      </c>
    </row>
    <row r="126" spans="1:11" s="48" customFormat="1" hidden="1" x14ac:dyDescent="0.55000000000000004">
      <c r="A126" s="1" t="s">
        <v>119</v>
      </c>
      <c r="B126" s="1">
        <v>14071</v>
      </c>
      <c r="C126" s="1" t="s">
        <v>287</v>
      </c>
      <c r="D126" s="1"/>
      <c r="E126" s="1" t="s">
        <v>308</v>
      </c>
      <c r="F126" s="1" t="s">
        <v>120</v>
      </c>
      <c r="G126" s="1">
        <v>25</v>
      </c>
      <c r="H126" s="1"/>
      <c r="I126" s="1"/>
      <c r="J126" s="39">
        <v>45693</v>
      </c>
      <c r="K126" s="41" t="s">
        <v>66</v>
      </c>
    </row>
    <row r="127" spans="1:11" s="48" customFormat="1" hidden="1" x14ac:dyDescent="0.55000000000000004">
      <c r="A127" s="41" t="s">
        <v>22</v>
      </c>
      <c r="B127" s="41">
        <v>14017</v>
      </c>
      <c r="C127" s="41" t="s">
        <v>661</v>
      </c>
      <c r="D127" s="41"/>
      <c r="E127" s="41"/>
      <c r="F127" s="41" t="s">
        <v>367</v>
      </c>
      <c r="G127" s="41">
        <v>50</v>
      </c>
      <c r="H127" s="41"/>
      <c r="I127" s="41"/>
      <c r="J127" s="43">
        <v>45971</v>
      </c>
      <c r="K127" s="41" t="s">
        <v>66</v>
      </c>
    </row>
    <row r="128" spans="1:11" s="48" customFormat="1" hidden="1" x14ac:dyDescent="0.55000000000000004">
      <c r="A128" s="41" t="s">
        <v>22</v>
      </c>
      <c r="B128" s="41">
        <v>13962</v>
      </c>
      <c r="C128" s="41" t="s">
        <v>662</v>
      </c>
      <c r="D128" s="41"/>
      <c r="E128" s="41"/>
      <c r="F128" s="41" t="s">
        <v>23</v>
      </c>
      <c r="G128" s="41">
        <v>501</v>
      </c>
      <c r="H128" s="41"/>
      <c r="I128" s="41"/>
      <c r="J128" s="43">
        <v>45930</v>
      </c>
      <c r="K128" s="41" t="s">
        <v>66</v>
      </c>
    </row>
    <row r="129" spans="1:11" s="48" customFormat="1" hidden="1" x14ac:dyDescent="0.55000000000000004">
      <c r="A129" s="41" t="s">
        <v>22</v>
      </c>
      <c r="B129" s="41">
        <v>13962</v>
      </c>
      <c r="C129" s="41"/>
      <c r="D129" s="41"/>
      <c r="E129" s="41"/>
      <c r="F129" s="41" t="s">
        <v>638</v>
      </c>
      <c r="G129" s="41">
        <v>501</v>
      </c>
      <c r="H129" s="41"/>
      <c r="I129" s="41"/>
      <c r="J129" s="43">
        <v>45930</v>
      </c>
      <c r="K129" s="41" t="s">
        <v>66</v>
      </c>
    </row>
    <row r="130" spans="1:11" s="48" customFormat="1" hidden="1" x14ac:dyDescent="0.55000000000000004">
      <c r="A130" s="41" t="s">
        <v>22</v>
      </c>
      <c r="B130" s="41">
        <v>13961</v>
      </c>
      <c r="C130" s="41"/>
      <c r="D130" s="41"/>
      <c r="E130" s="41"/>
      <c r="F130" s="41" t="s">
        <v>637</v>
      </c>
      <c r="G130" s="41">
        <v>64</v>
      </c>
      <c r="H130" s="41"/>
      <c r="I130" s="41"/>
      <c r="J130" s="43">
        <v>45930</v>
      </c>
      <c r="K130" s="41" t="s">
        <v>66</v>
      </c>
    </row>
    <row r="131" spans="1:11" s="48" customFormat="1" hidden="1" x14ac:dyDescent="0.55000000000000004">
      <c r="A131" s="41" t="s">
        <v>22</v>
      </c>
      <c r="B131" s="41">
        <v>13942</v>
      </c>
      <c r="C131" s="41"/>
      <c r="D131" s="41"/>
      <c r="E131" s="41"/>
      <c r="F131" s="41" t="s">
        <v>501</v>
      </c>
      <c r="G131" s="41">
        <v>120</v>
      </c>
      <c r="H131" s="41"/>
      <c r="I131" s="41"/>
      <c r="J131" s="43">
        <v>45925</v>
      </c>
      <c r="K131" s="41" t="s">
        <v>66</v>
      </c>
    </row>
    <row r="132" spans="1:11" s="48" customFormat="1" ht="19.5" hidden="1" customHeight="1" x14ac:dyDescent="0.55000000000000004">
      <c r="A132" s="41" t="s">
        <v>22</v>
      </c>
      <c r="B132" s="41">
        <v>13877</v>
      </c>
      <c r="C132" s="41"/>
      <c r="D132" s="41"/>
      <c r="E132" s="41"/>
      <c r="F132" s="41" t="s">
        <v>625</v>
      </c>
      <c r="G132" s="41">
        <v>72</v>
      </c>
      <c r="H132" s="41"/>
      <c r="I132" s="41"/>
      <c r="J132" s="43">
        <v>45903</v>
      </c>
      <c r="K132" s="41" t="s">
        <v>66</v>
      </c>
    </row>
    <row r="133" spans="1:11" s="48" customFormat="1" ht="15.75" hidden="1" customHeight="1" x14ac:dyDescent="0.55000000000000004">
      <c r="A133" s="41" t="s">
        <v>22</v>
      </c>
      <c r="B133" s="41">
        <v>13802</v>
      </c>
      <c r="C133" s="41"/>
      <c r="D133" s="41"/>
      <c r="E133" s="41"/>
      <c r="F133" s="41" t="s">
        <v>610</v>
      </c>
      <c r="G133" s="41">
        <v>80</v>
      </c>
      <c r="H133" s="41"/>
      <c r="I133" s="41"/>
      <c r="J133" s="43">
        <v>45875</v>
      </c>
      <c r="K133" s="41" t="s">
        <v>66</v>
      </c>
    </row>
    <row r="134" spans="1:11" s="48" customFormat="1" hidden="1" x14ac:dyDescent="0.55000000000000004">
      <c r="A134" s="41" t="s">
        <v>22</v>
      </c>
      <c r="B134" s="41">
        <v>13802</v>
      </c>
      <c r="C134" s="41"/>
      <c r="D134" s="41"/>
      <c r="E134" s="41"/>
      <c r="F134" s="41" t="s">
        <v>611</v>
      </c>
      <c r="G134" s="41">
        <v>80</v>
      </c>
      <c r="H134" s="41"/>
      <c r="I134" s="41"/>
      <c r="J134" s="43">
        <v>45875</v>
      </c>
      <c r="K134" s="41" t="s">
        <v>66</v>
      </c>
    </row>
    <row r="135" spans="1:11" s="48" customFormat="1" hidden="1" x14ac:dyDescent="0.55000000000000004">
      <c r="A135" s="41" t="s">
        <v>22</v>
      </c>
      <c r="B135" s="41">
        <v>13767</v>
      </c>
      <c r="C135" s="41"/>
      <c r="D135" s="41"/>
      <c r="E135" s="41"/>
      <c r="F135" s="41" t="s">
        <v>591</v>
      </c>
      <c r="G135" s="41">
        <v>168</v>
      </c>
      <c r="H135" s="41"/>
      <c r="I135" s="41"/>
      <c r="J135" s="43">
        <v>45827</v>
      </c>
      <c r="K135" s="41" t="s">
        <v>66</v>
      </c>
    </row>
    <row r="136" spans="1:11" s="48" customFormat="1" hidden="1" x14ac:dyDescent="0.55000000000000004">
      <c r="A136" s="41" t="s">
        <v>22</v>
      </c>
      <c r="B136" s="41">
        <v>13740</v>
      </c>
      <c r="C136" s="41"/>
      <c r="D136" s="41"/>
      <c r="E136" s="41"/>
      <c r="F136" s="41" t="s">
        <v>581</v>
      </c>
      <c r="G136" s="41">
        <v>100</v>
      </c>
      <c r="H136" s="41"/>
      <c r="I136" s="41"/>
      <c r="J136" s="43">
        <v>45810</v>
      </c>
      <c r="K136" s="41" t="s">
        <v>66</v>
      </c>
    </row>
    <row r="137" spans="1:11" hidden="1" x14ac:dyDescent="0.55000000000000004">
      <c r="A137" s="41" t="s">
        <v>22</v>
      </c>
      <c r="B137" s="41">
        <v>13740</v>
      </c>
      <c r="C137" s="41"/>
      <c r="D137" s="41"/>
      <c r="E137" s="41"/>
      <c r="F137" s="41" t="s">
        <v>93</v>
      </c>
      <c r="G137" s="41">
        <v>104</v>
      </c>
      <c r="H137" s="41"/>
      <c r="I137" s="41"/>
      <c r="J137" s="43">
        <v>45810</v>
      </c>
      <c r="K137" s="41" t="s">
        <v>66</v>
      </c>
    </row>
    <row r="138" spans="1:11" hidden="1" x14ac:dyDescent="0.55000000000000004">
      <c r="A138" s="41" t="s">
        <v>22</v>
      </c>
      <c r="B138" s="41">
        <v>13701</v>
      </c>
      <c r="C138" s="41"/>
      <c r="D138" s="41"/>
      <c r="E138" s="41"/>
      <c r="F138" s="41" t="s">
        <v>23</v>
      </c>
      <c r="G138" s="41">
        <v>501</v>
      </c>
      <c r="H138" s="41"/>
      <c r="I138" s="41"/>
      <c r="J138" s="43">
        <v>45788</v>
      </c>
      <c r="K138" s="3" t="s">
        <v>66</v>
      </c>
    </row>
    <row r="139" spans="1:11" hidden="1" x14ac:dyDescent="0.55000000000000004">
      <c r="A139" s="41" t="s">
        <v>22</v>
      </c>
      <c r="B139" s="41">
        <v>13701</v>
      </c>
      <c r="C139" s="41"/>
      <c r="D139" s="41"/>
      <c r="E139" s="41"/>
      <c r="F139" s="41" t="s">
        <v>24</v>
      </c>
      <c r="G139" s="41">
        <v>501</v>
      </c>
      <c r="H139" s="41"/>
      <c r="I139" s="41"/>
      <c r="J139" s="43">
        <v>45788</v>
      </c>
      <c r="K139" s="3" t="s">
        <v>66</v>
      </c>
    </row>
    <row r="140" spans="1:11" s="48" customFormat="1" hidden="1" x14ac:dyDescent="0.55000000000000004">
      <c r="A140" s="41" t="s">
        <v>22</v>
      </c>
      <c r="B140" s="41">
        <v>13682</v>
      </c>
      <c r="C140" s="41"/>
      <c r="D140" s="41"/>
      <c r="E140" s="41"/>
      <c r="F140" s="41" t="s">
        <v>548</v>
      </c>
      <c r="G140" s="41">
        <v>504</v>
      </c>
      <c r="H140" s="41"/>
      <c r="I140" s="41"/>
      <c r="J140" s="43">
        <v>45769</v>
      </c>
      <c r="K140" s="3" t="s">
        <v>66</v>
      </c>
    </row>
    <row r="141" spans="1:11" s="48" customFormat="1" hidden="1" x14ac:dyDescent="0.55000000000000004">
      <c r="A141" s="41" t="s">
        <v>22</v>
      </c>
      <c r="B141" s="41">
        <v>13667</v>
      </c>
      <c r="C141" s="41"/>
      <c r="D141" s="41"/>
      <c r="E141" s="41"/>
      <c r="F141" s="41" t="s">
        <v>543</v>
      </c>
      <c r="G141" s="41">
        <v>504</v>
      </c>
      <c r="H141" s="41">
        <f>12+180+306</f>
        <v>498</v>
      </c>
      <c r="I141" s="41">
        <f>G141-H141</f>
        <v>6</v>
      </c>
      <c r="J141" s="43">
        <v>45755</v>
      </c>
      <c r="K141" s="3" t="s">
        <v>66</v>
      </c>
    </row>
    <row r="142" spans="1:11" s="48" customFormat="1" hidden="1" x14ac:dyDescent="0.55000000000000004">
      <c r="A142" s="41" t="s">
        <v>22</v>
      </c>
      <c r="B142" s="41">
        <v>13611</v>
      </c>
      <c r="C142" s="41"/>
      <c r="D142" s="41"/>
      <c r="E142" s="41"/>
      <c r="F142" s="41" t="s">
        <v>501</v>
      </c>
      <c r="G142" s="41">
        <v>156</v>
      </c>
      <c r="H142" s="41"/>
      <c r="I142" s="41"/>
      <c r="J142" s="43">
        <v>45705</v>
      </c>
      <c r="K142" s="3" t="s">
        <v>66</v>
      </c>
    </row>
    <row r="143" spans="1:11" s="48" customFormat="1" hidden="1" x14ac:dyDescent="0.55000000000000004">
      <c r="A143" s="41" t="s">
        <v>408</v>
      </c>
      <c r="B143" s="41">
        <v>2969</v>
      </c>
      <c r="C143" s="41"/>
      <c r="D143" s="41"/>
      <c r="E143" s="41"/>
      <c r="F143" s="41" t="s">
        <v>632</v>
      </c>
      <c r="G143" s="41">
        <v>16</v>
      </c>
      <c r="H143" s="41"/>
      <c r="I143" s="41"/>
      <c r="J143" s="43">
        <v>45918</v>
      </c>
      <c r="K143" s="41" t="s">
        <v>66</v>
      </c>
    </row>
    <row r="144" spans="1:11" s="48" customFormat="1" hidden="1" x14ac:dyDescent="0.55000000000000004">
      <c r="A144" s="41" t="s">
        <v>408</v>
      </c>
      <c r="B144" s="41">
        <v>2955</v>
      </c>
      <c r="C144" s="41"/>
      <c r="D144" s="41"/>
      <c r="E144" s="41"/>
      <c r="F144" s="41" t="s">
        <v>617</v>
      </c>
      <c r="G144" s="41">
        <v>30</v>
      </c>
      <c r="H144" s="41"/>
      <c r="I144" s="41"/>
      <c r="J144" s="43">
        <v>45901</v>
      </c>
      <c r="K144" s="41" t="s">
        <v>66</v>
      </c>
    </row>
    <row r="145" spans="1:11" s="48" customFormat="1" hidden="1" x14ac:dyDescent="0.55000000000000004">
      <c r="A145" s="41" t="s">
        <v>408</v>
      </c>
      <c r="B145" s="41">
        <v>2947</v>
      </c>
      <c r="C145" s="41"/>
      <c r="D145" s="41"/>
      <c r="E145" s="41"/>
      <c r="F145" s="41" t="s">
        <v>606</v>
      </c>
      <c r="G145" s="41">
        <v>5</v>
      </c>
      <c r="H145" s="41"/>
      <c r="I145" s="41"/>
      <c r="J145" s="43">
        <v>45845</v>
      </c>
      <c r="K145" s="41" t="s">
        <v>66</v>
      </c>
    </row>
    <row r="146" spans="1:11" s="48" customFormat="1" hidden="1" x14ac:dyDescent="0.55000000000000004">
      <c r="A146" s="41" t="s">
        <v>408</v>
      </c>
      <c r="B146" s="41">
        <v>2928</v>
      </c>
      <c r="C146" s="41"/>
      <c r="D146" s="41"/>
      <c r="E146" s="41"/>
      <c r="F146" s="41" t="s">
        <v>572</v>
      </c>
      <c r="G146" s="41">
        <v>20</v>
      </c>
      <c r="H146" s="41"/>
      <c r="I146" s="41"/>
      <c r="J146" s="43">
        <v>45838</v>
      </c>
      <c r="K146" s="41" t="s">
        <v>66</v>
      </c>
    </row>
    <row r="147" spans="1:11" hidden="1" x14ac:dyDescent="0.55000000000000004">
      <c r="A147" s="41" t="s">
        <v>408</v>
      </c>
      <c r="B147" s="41">
        <v>2899</v>
      </c>
      <c r="C147" s="41"/>
      <c r="D147" s="41"/>
      <c r="E147" s="41"/>
      <c r="F147" s="41" t="s">
        <v>545</v>
      </c>
      <c r="G147" s="41">
        <v>10</v>
      </c>
      <c r="H147" s="41"/>
      <c r="I147" s="41"/>
      <c r="J147" s="43">
        <v>45748</v>
      </c>
      <c r="K147" s="3" t="s">
        <v>66</v>
      </c>
    </row>
    <row r="148" spans="1:11" s="48" customFormat="1" hidden="1" x14ac:dyDescent="0.55000000000000004">
      <c r="A148" s="41" t="s">
        <v>408</v>
      </c>
      <c r="B148" s="41">
        <v>2893</v>
      </c>
      <c r="C148" s="41"/>
      <c r="D148" s="41"/>
      <c r="E148" s="41"/>
      <c r="F148" s="41" t="s">
        <v>544</v>
      </c>
      <c r="G148" s="41">
        <v>10</v>
      </c>
      <c r="H148" s="41"/>
      <c r="I148" s="41"/>
      <c r="J148" s="43">
        <v>45748</v>
      </c>
      <c r="K148" s="3" t="s">
        <v>66</v>
      </c>
    </row>
    <row r="149" spans="1:11" s="48" customFormat="1" hidden="1" x14ac:dyDescent="0.55000000000000004">
      <c r="A149" s="41" t="s">
        <v>408</v>
      </c>
      <c r="B149" s="41">
        <v>2883</v>
      </c>
      <c r="C149" s="41"/>
      <c r="D149" s="41"/>
      <c r="E149" s="41"/>
      <c r="F149" s="41" t="s">
        <v>533</v>
      </c>
      <c r="G149" s="41">
        <v>10</v>
      </c>
      <c r="H149" s="41"/>
      <c r="I149" s="41"/>
      <c r="J149" s="43">
        <v>45743</v>
      </c>
      <c r="K149" s="3" t="s">
        <v>66</v>
      </c>
    </row>
    <row r="150" spans="1:11" s="48" customFormat="1" hidden="1" x14ac:dyDescent="0.55000000000000004">
      <c r="A150" s="41" t="s">
        <v>408</v>
      </c>
      <c r="B150" s="41">
        <v>2880</v>
      </c>
      <c r="C150" s="41"/>
      <c r="D150" s="41"/>
      <c r="E150" s="41"/>
      <c r="F150" s="41" t="s">
        <v>532</v>
      </c>
      <c r="G150" s="41">
        <v>50</v>
      </c>
      <c r="H150" s="41"/>
      <c r="I150" s="41"/>
      <c r="J150" s="43">
        <v>45743</v>
      </c>
      <c r="K150" s="3" t="s">
        <v>66</v>
      </c>
    </row>
    <row r="151" spans="1:11" s="48" customFormat="1" hidden="1" x14ac:dyDescent="0.55000000000000004">
      <c r="A151" s="41" t="s">
        <v>408</v>
      </c>
      <c r="B151" s="41">
        <v>2865</v>
      </c>
      <c r="C151" s="41"/>
      <c r="D151" s="41"/>
      <c r="E151" s="41" t="s">
        <v>507</v>
      </c>
      <c r="F151" s="41" t="s">
        <v>502</v>
      </c>
      <c r="G151" s="41">
        <v>10</v>
      </c>
      <c r="H151" s="41"/>
      <c r="I151" s="41"/>
      <c r="J151" s="43">
        <v>45705</v>
      </c>
      <c r="K151" s="41" t="s">
        <v>66</v>
      </c>
    </row>
    <row r="152" spans="1:11" s="48" customFormat="1" hidden="1" x14ac:dyDescent="0.55000000000000004">
      <c r="A152" s="41" t="s">
        <v>408</v>
      </c>
      <c r="B152" s="41">
        <v>2859</v>
      </c>
      <c r="C152" s="41" t="s">
        <v>488</v>
      </c>
      <c r="D152" s="41"/>
      <c r="E152" s="41"/>
      <c r="F152" s="41" t="s">
        <v>483</v>
      </c>
      <c r="G152" s="41">
        <v>20</v>
      </c>
      <c r="H152" s="41"/>
      <c r="I152" s="41"/>
      <c r="J152" s="43">
        <v>45682</v>
      </c>
      <c r="K152" s="3" t="s">
        <v>66</v>
      </c>
    </row>
    <row r="153" spans="1:11" s="48" customFormat="1" x14ac:dyDescent="0.55000000000000004">
      <c r="A153" s="41" t="s">
        <v>434</v>
      </c>
      <c r="B153" s="41">
        <v>619</v>
      </c>
      <c r="C153" s="41" t="s">
        <v>497</v>
      </c>
      <c r="D153" s="41">
        <v>1</v>
      </c>
      <c r="E153" s="41" t="s">
        <v>497</v>
      </c>
      <c r="F153" s="41" t="s">
        <v>478</v>
      </c>
      <c r="G153" s="41">
        <v>3</v>
      </c>
      <c r="H153" s="41"/>
      <c r="I153" s="41"/>
      <c r="J153" s="43">
        <v>45684</v>
      </c>
      <c r="K153" s="41" t="s">
        <v>66</v>
      </c>
    </row>
    <row r="154" spans="1:11" x14ac:dyDescent="0.55000000000000004">
      <c r="A154" s="41" t="s">
        <v>434</v>
      </c>
      <c r="B154" s="41">
        <v>624</v>
      </c>
      <c r="C154" s="41"/>
      <c r="D154" s="41"/>
      <c r="E154" s="41"/>
      <c r="F154" s="41" t="s">
        <v>537</v>
      </c>
      <c r="G154" s="41">
        <v>10</v>
      </c>
      <c r="H154" s="41"/>
      <c r="I154" s="41"/>
      <c r="J154" s="39">
        <v>45747</v>
      </c>
      <c r="K154" s="41" t="s">
        <v>66</v>
      </c>
    </row>
    <row r="155" spans="1:11" x14ac:dyDescent="0.55000000000000004">
      <c r="A155" s="41" t="s">
        <v>434</v>
      </c>
      <c r="B155" s="41">
        <v>626</v>
      </c>
      <c r="C155" s="41"/>
      <c r="D155" s="41"/>
      <c r="E155" s="41"/>
      <c r="F155" s="41" t="s">
        <v>536</v>
      </c>
      <c r="G155" s="41">
        <v>10</v>
      </c>
      <c r="H155" s="41"/>
      <c r="I155" s="41"/>
      <c r="J155" s="39">
        <v>45747</v>
      </c>
      <c r="K155" s="3" t="s">
        <v>66</v>
      </c>
    </row>
    <row r="156" spans="1:11" s="48" customFormat="1" x14ac:dyDescent="0.55000000000000004">
      <c r="A156" s="41" t="s">
        <v>434</v>
      </c>
      <c r="B156" s="41">
        <v>635</v>
      </c>
      <c r="C156" s="41"/>
      <c r="D156" s="41"/>
      <c r="E156" s="41"/>
      <c r="F156" s="41" t="s">
        <v>564</v>
      </c>
      <c r="G156" s="41">
        <v>10</v>
      </c>
      <c r="H156" s="41"/>
      <c r="I156" s="41"/>
      <c r="J156" s="43">
        <v>45775</v>
      </c>
      <c r="K156" s="3" t="s">
        <v>66</v>
      </c>
    </row>
    <row r="157" spans="1:11" s="48" customFormat="1" x14ac:dyDescent="0.55000000000000004">
      <c r="A157" s="41" t="s">
        <v>434</v>
      </c>
      <c r="B157" s="41">
        <v>638</v>
      </c>
      <c r="C157" s="41"/>
      <c r="D157" s="41"/>
      <c r="E157" s="41"/>
      <c r="F157" s="41" t="s">
        <v>478</v>
      </c>
      <c r="G157" s="41">
        <v>10</v>
      </c>
      <c r="H157" s="41"/>
      <c r="I157" s="41"/>
      <c r="J157" s="43"/>
      <c r="K157" s="41" t="s">
        <v>66</v>
      </c>
    </row>
    <row r="158" spans="1:11" s="48" customFormat="1" x14ac:dyDescent="0.55000000000000004">
      <c r="A158" s="41" t="s">
        <v>434</v>
      </c>
      <c r="B158" s="41">
        <v>650</v>
      </c>
      <c r="C158" s="41"/>
      <c r="D158" s="41"/>
      <c r="E158" s="41"/>
      <c r="F158" s="41" t="s">
        <v>615</v>
      </c>
      <c r="G158" s="41">
        <v>10</v>
      </c>
      <c r="H158" s="41">
        <v>3</v>
      </c>
      <c r="I158" s="41">
        <v>7</v>
      </c>
      <c r="J158" s="43">
        <v>45894</v>
      </c>
      <c r="K158" s="41" t="s">
        <v>66</v>
      </c>
    </row>
    <row r="159" spans="1:11" s="48" customFormat="1" hidden="1" x14ac:dyDescent="0.55000000000000004">
      <c r="A159" s="41" t="s">
        <v>43</v>
      </c>
      <c r="B159" s="41"/>
      <c r="C159" s="41"/>
      <c r="D159" s="41"/>
      <c r="E159" s="41"/>
      <c r="F159" s="41" t="s">
        <v>594</v>
      </c>
      <c r="G159" s="41">
        <v>50</v>
      </c>
      <c r="H159" s="41"/>
      <c r="I159" s="41"/>
      <c r="J159" s="43"/>
      <c r="K159" s="41" t="s">
        <v>66</v>
      </c>
    </row>
    <row r="160" spans="1:11" hidden="1" x14ac:dyDescent="0.55000000000000004">
      <c r="A160" s="41" t="s">
        <v>81</v>
      </c>
      <c r="B160" s="41">
        <v>2025280</v>
      </c>
      <c r="C160" s="41" t="s">
        <v>678</v>
      </c>
      <c r="D160" s="41"/>
      <c r="E160" s="41"/>
      <c r="F160" s="41" t="s">
        <v>642</v>
      </c>
      <c r="G160" s="41">
        <v>25</v>
      </c>
      <c r="H160" s="41"/>
      <c r="I160" s="41"/>
      <c r="J160" s="43"/>
      <c r="K160" s="41" t="s">
        <v>66</v>
      </c>
    </row>
    <row r="161" spans="1:11" s="48" customFormat="1" hidden="1" x14ac:dyDescent="0.55000000000000004">
      <c r="A161" s="41" t="s">
        <v>584</v>
      </c>
      <c r="B161" s="41" t="s">
        <v>604</v>
      </c>
      <c r="C161" s="41"/>
      <c r="D161" s="41"/>
      <c r="E161" s="41"/>
      <c r="F161" s="41" t="s">
        <v>524</v>
      </c>
      <c r="G161" s="41">
        <v>150</v>
      </c>
      <c r="H161" s="41">
        <v>50</v>
      </c>
      <c r="I161" s="41">
        <v>100</v>
      </c>
      <c r="J161" s="43">
        <v>45838</v>
      </c>
      <c r="K161" s="41" t="s">
        <v>66</v>
      </c>
    </row>
    <row r="162" spans="1:11" s="48" customFormat="1" hidden="1" x14ac:dyDescent="0.55000000000000004">
      <c r="A162" s="41" t="s">
        <v>584</v>
      </c>
      <c r="B162" s="41" t="s">
        <v>604</v>
      </c>
      <c r="C162" s="41"/>
      <c r="D162" s="41"/>
      <c r="E162" s="41"/>
      <c r="F162" s="41" t="s">
        <v>523</v>
      </c>
      <c r="G162" s="41">
        <v>250</v>
      </c>
      <c r="H162" s="41">
        <v>100</v>
      </c>
      <c r="I162" s="41">
        <v>150</v>
      </c>
      <c r="J162" s="43">
        <v>45838</v>
      </c>
      <c r="K162" s="41" t="s">
        <v>66</v>
      </c>
    </row>
    <row r="163" spans="1:11" s="48" customFormat="1" hidden="1" x14ac:dyDescent="0.55000000000000004">
      <c r="A163" s="59" t="s">
        <v>584</v>
      </c>
      <c r="B163" s="59" t="s">
        <v>604</v>
      </c>
      <c r="C163" s="59"/>
      <c r="D163" s="59"/>
      <c r="E163" s="59"/>
      <c r="F163" s="59" t="s">
        <v>605</v>
      </c>
      <c r="G163" s="59">
        <v>100</v>
      </c>
      <c r="H163" s="59">
        <v>50</v>
      </c>
      <c r="I163" s="59">
        <v>50</v>
      </c>
      <c r="J163" s="60">
        <v>45838</v>
      </c>
      <c r="K163" s="41" t="s">
        <v>66</v>
      </c>
    </row>
    <row r="164" spans="1:11" s="48" customFormat="1" hidden="1" x14ac:dyDescent="0.55000000000000004">
      <c r="A164" s="41" t="s">
        <v>19</v>
      </c>
      <c r="B164" s="41">
        <v>112148</v>
      </c>
      <c r="C164" s="41"/>
      <c r="D164" s="41"/>
      <c r="E164" s="41"/>
      <c r="F164" s="42" t="s">
        <v>667</v>
      </c>
      <c r="G164" s="41">
        <v>50</v>
      </c>
      <c r="H164" s="41"/>
      <c r="I164" s="41"/>
      <c r="J164" s="43">
        <v>45971</v>
      </c>
      <c r="K164" s="41" t="s">
        <v>66</v>
      </c>
    </row>
    <row r="165" spans="1:11" s="48" customFormat="1" hidden="1" x14ac:dyDescent="0.55000000000000004">
      <c r="A165" s="41" t="s">
        <v>22</v>
      </c>
      <c r="B165" s="41">
        <v>14041</v>
      </c>
      <c r="C165" s="41" t="s">
        <v>673</v>
      </c>
      <c r="D165" s="41"/>
      <c r="E165" s="41"/>
      <c r="F165" s="41" t="s">
        <v>666</v>
      </c>
      <c r="G165" s="41">
        <v>56</v>
      </c>
      <c r="H165" s="41"/>
      <c r="I165" s="41"/>
      <c r="J165" s="43">
        <v>45971</v>
      </c>
      <c r="K165" s="41" t="s">
        <v>66</v>
      </c>
    </row>
    <row r="166" spans="1:11" s="48" customFormat="1" hidden="1" x14ac:dyDescent="0.55000000000000004">
      <c r="A166" s="41" t="s">
        <v>22</v>
      </c>
      <c r="B166" s="41">
        <v>14048</v>
      </c>
      <c r="C166" s="41"/>
      <c r="D166" s="41"/>
      <c r="E166" s="41"/>
      <c r="F166" s="41" t="s">
        <v>610</v>
      </c>
      <c r="G166" s="41">
        <v>104</v>
      </c>
      <c r="H166" s="41"/>
      <c r="I166" s="41"/>
      <c r="J166" s="43">
        <v>45988</v>
      </c>
      <c r="K166" s="41" t="s">
        <v>66</v>
      </c>
    </row>
    <row r="167" spans="1:11" s="48" customFormat="1" hidden="1" x14ac:dyDescent="0.55000000000000004">
      <c r="A167" s="41" t="s">
        <v>22</v>
      </c>
      <c r="B167" s="41">
        <v>14048</v>
      </c>
      <c r="C167" s="41"/>
      <c r="D167" s="41"/>
      <c r="E167" s="41"/>
      <c r="F167" s="41" t="s">
        <v>320</v>
      </c>
      <c r="G167" s="41">
        <v>64</v>
      </c>
      <c r="H167" s="41"/>
      <c r="I167" s="41"/>
      <c r="J167" s="43">
        <v>45988</v>
      </c>
      <c r="K167" s="41" t="s">
        <v>66</v>
      </c>
    </row>
    <row r="168" spans="1:11" s="48" customFormat="1" hidden="1" x14ac:dyDescent="0.55000000000000004">
      <c r="A168" s="41" t="s">
        <v>22</v>
      </c>
      <c r="B168" s="41">
        <v>14048</v>
      </c>
      <c r="C168" s="41"/>
      <c r="D168" s="41"/>
      <c r="E168" s="41"/>
      <c r="F168" s="41" t="s">
        <v>674</v>
      </c>
      <c r="G168" s="41">
        <v>30</v>
      </c>
      <c r="H168" s="41"/>
      <c r="I168" s="41"/>
      <c r="J168" s="43">
        <v>45988</v>
      </c>
      <c r="K168" s="41" t="s">
        <v>66</v>
      </c>
    </row>
    <row r="169" spans="1:11" s="48" customFormat="1" hidden="1" x14ac:dyDescent="0.55000000000000004">
      <c r="A169" s="41" t="s">
        <v>22</v>
      </c>
      <c r="B169" s="41">
        <v>14048</v>
      </c>
      <c r="C169" s="41" t="s">
        <v>682</v>
      </c>
      <c r="D169" s="41"/>
      <c r="E169" s="41"/>
      <c r="F169" s="41" t="s">
        <v>93</v>
      </c>
      <c r="G169" s="41">
        <v>198</v>
      </c>
      <c r="H169" s="41">
        <v>104</v>
      </c>
      <c r="I169" s="41">
        <v>94</v>
      </c>
      <c r="J169" s="43">
        <v>45988</v>
      </c>
      <c r="K169" s="41" t="s">
        <v>66</v>
      </c>
    </row>
    <row r="170" spans="1:11" s="48" customFormat="1" hidden="1" x14ac:dyDescent="0.55000000000000004">
      <c r="A170" s="41" t="s">
        <v>408</v>
      </c>
      <c r="B170" s="41">
        <v>3012</v>
      </c>
      <c r="C170" s="41" t="s">
        <v>679</v>
      </c>
      <c r="D170" s="41"/>
      <c r="E170" s="41"/>
      <c r="F170" s="41" t="s">
        <v>655</v>
      </c>
      <c r="G170" s="41">
        <v>6</v>
      </c>
      <c r="H170" s="41"/>
      <c r="I170" s="41"/>
      <c r="J170" s="43">
        <v>45971</v>
      </c>
      <c r="K170" s="41" t="s">
        <v>66</v>
      </c>
    </row>
    <row r="171" spans="1:11" s="48" customFormat="1" hidden="1" x14ac:dyDescent="0.55000000000000004">
      <c r="A171" s="41" t="s">
        <v>584</v>
      </c>
      <c r="B171" s="41" t="s">
        <v>648</v>
      </c>
      <c r="C171" s="41" t="s">
        <v>658</v>
      </c>
      <c r="D171" s="41"/>
      <c r="E171" s="41"/>
      <c r="F171" s="41" t="s">
        <v>522</v>
      </c>
      <c r="G171" s="41">
        <v>25</v>
      </c>
      <c r="H171" s="41"/>
      <c r="I171" s="41"/>
      <c r="J171" s="43">
        <v>45968</v>
      </c>
      <c r="K171" s="41" t="s">
        <v>66</v>
      </c>
    </row>
    <row r="172" spans="1:11" s="48" customFormat="1" hidden="1" x14ac:dyDescent="0.55000000000000004">
      <c r="A172" s="41" t="s">
        <v>584</v>
      </c>
      <c r="B172" s="41" t="s">
        <v>648</v>
      </c>
      <c r="C172" s="41" t="s">
        <v>659</v>
      </c>
      <c r="D172" s="41"/>
      <c r="E172" s="41"/>
      <c r="F172" s="41" t="s">
        <v>517</v>
      </c>
      <c r="G172" s="41">
        <v>50</v>
      </c>
      <c r="H172" s="41"/>
      <c r="I172" s="41"/>
      <c r="J172" s="43">
        <v>45968</v>
      </c>
      <c r="K172" s="41" t="s">
        <v>66</v>
      </c>
    </row>
    <row r="173" spans="1:11" s="48" customFormat="1" hidden="1" x14ac:dyDescent="0.55000000000000004">
      <c r="A173" s="41" t="s">
        <v>29</v>
      </c>
      <c r="B173" s="41" t="s">
        <v>668</v>
      </c>
      <c r="C173" s="41"/>
      <c r="D173" s="41"/>
      <c r="E173" s="41"/>
      <c r="F173" s="41" t="s">
        <v>669</v>
      </c>
      <c r="G173" s="41">
        <v>300</v>
      </c>
      <c r="H173" s="41"/>
      <c r="I173" s="41"/>
      <c r="J173" s="43">
        <v>46006</v>
      </c>
      <c r="K173" s="41" t="s">
        <v>66</v>
      </c>
    </row>
    <row r="174" spans="1:11" s="48" customFormat="1" hidden="1" x14ac:dyDescent="0.55000000000000004">
      <c r="A174" s="41" t="s">
        <v>408</v>
      </c>
      <c r="B174" s="41">
        <v>2994</v>
      </c>
      <c r="C174" s="41" t="s">
        <v>680</v>
      </c>
      <c r="D174" s="41"/>
      <c r="E174" s="41"/>
      <c r="F174" s="42" t="s">
        <v>641</v>
      </c>
      <c r="G174" s="41">
        <v>36</v>
      </c>
      <c r="H174" s="41"/>
      <c r="I174" s="41"/>
      <c r="J174" s="43">
        <v>45943</v>
      </c>
      <c r="K174" s="41" t="s">
        <v>66</v>
      </c>
    </row>
    <row r="175" spans="1:11" s="48" customFormat="1" hidden="1" x14ac:dyDescent="0.55000000000000004">
      <c r="A175" s="41" t="s">
        <v>81</v>
      </c>
      <c r="B175" s="41">
        <v>2025329</v>
      </c>
      <c r="C175" s="41"/>
      <c r="D175" s="41"/>
      <c r="E175" s="41"/>
      <c r="F175" s="41" t="s">
        <v>269</v>
      </c>
      <c r="G175" s="41">
        <v>50</v>
      </c>
      <c r="H175" s="41"/>
      <c r="I175" s="41"/>
      <c r="J175" s="43">
        <v>46009</v>
      </c>
      <c r="K175" s="41" t="s">
        <v>66</v>
      </c>
    </row>
    <row r="176" spans="1:11" s="48" customFormat="1" hidden="1" x14ac:dyDescent="0.55000000000000004">
      <c r="A176" s="41" t="s">
        <v>584</v>
      </c>
      <c r="B176" s="41" t="s">
        <v>649</v>
      </c>
      <c r="C176" s="41" t="s">
        <v>660</v>
      </c>
      <c r="D176" s="41"/>
      <c r="E176" s="41"/>
      <c r="F176" s="41" t="s">
        <v>520</v>
      </c>
      <c r="G176" s="41">
        <v>40</v>
      </c>
      <c r="H176" s="41"/>
      <c r="I176" s="41"/>
      <c r="J176" s="43">
        <v>45982</v>
      </c>
      <c r="K176" s="41" t="s">
        <v>66</v>
      </c>
    </row>
    <row r="177" spans="1:11" s="48" customFormat="1" hidden="1" x14ac:dyDescent="0.55000000000000004">
      <c r="A177" s="41" t="s">
        <v>584</v>
      </c>
      <c r="B177" s="41" t="s">
        <v>683</v>
      </c>
      <c r="C177" s="41" t="s">
        <v>684</v>
      </c>
      <c r="D177" s="41"/>
      <c r="E177" s="41"/>
      <c r="F177" s="41" t="s">
        <v>518</v>
      </c>
      <c r="G177" s="41">
        <v>20</v>
      </c>
      <c r="H177" s="41"/>
      <c r="I177" s="41"/>
      <c r="J177" s="43">
        <v>45982</v>
      </c>
      <c r="K177" s="41" t="s">
        <v>66</v>
      </c>
    </row>
    <row r="178" spans="1:11" s="48" customFormat="1" hidden="1" x14ac:dyDescent="0.55000000000000004">
      <c r="A178" s="41" t="s">
        <v>81</v>
      </c>
      <c r="B178" s="41">
        <v>2025317</v>
      </c>
      <c r="C178" s="41" t="s">
        <v>671</v>
      </c>
      <c r="D178" s="41"/>
      <c r="E178" s="41"/>
      <c r="F178" s="41" t="s">
        <v>672</v>
      </c>
      <c r="G178" s="41">
        <v>50</v>
      </c>
      <c r="H178" s="41"/>
      <c r="I178" s="41"/>
      <c r="J178" s="43">
        <v>46006</v>
      </c>
      <c r="K178" s="41" t="s">
        <v>66</v>
      </c>
    </row>
    <row r="179" spans="1:11" s="48" customFormat="1" hidden="1" x14ac:dyDescent="0.55000000000000004">
      <c r="A179" s="41" t="s">
        <v>81</v>
      </c>
      <c r="B179" s="41">
        <v>2025297</v>
      </c>
      <c r="C179" s="41" t="s">
        <v>681</v>
      </c>
      <c r="D179" s="41"/>
      <c r="E179" s="41"/>
      <c r="F179" s="41" t="s">
        <v>653</v>
      </c>
      <c r="G179" s="41">
        <v>10</v>
      </c>
      <c r="H179" s="41"/>
      <c r="I179" s="41"/>
      <c r="J179" s="43">
        <v>46006</v>
      </c>
      <c r="K179" s="41" t="s">
        <v>66</v>
      </c>
    </row>
    <row r="180" spans="1:11" s="48" customFormat="1" ht="12" hidden="1" customHeight="1" x14ac:dyDescent="0.55000000000000004">
      <c r="A180" s="41" t="s">
        <v>173</v>
      </c>
      <c r="B180" s="41" t="s">
        <v>650</v>
      </c>
      <c r="C180" s="41"/>
      <c r="D180" s="41"/>
      <c r="E180" s="41"/>
      <c r="F180" s="62" t="s">
        <v>651</v>
      </c>
      <c r="G180" s="63">
        <v>10</v>
      </c>
      <c r="H180" s="41"/>
      <c r="I180" s="41"/>
      <c r="J180" s="43">
        <v>45999</v>
      </c>
      <c r="K180" s="41" t="s">
        <v>66</v>
      </c>
    </row>
    <row r="181" spans="1:11" s="48" customFormat="1" hidden="1" x14ac:dyDescent="0.55000000000000004">
      <c r="A181" s="41" t="s">
        <v>173</v>
      </c>
      <c r="B181" s="41" t="s">
        <v>650</v>
      </c>
      <c r="C181" s="41" t="s">
        <v>686</v>
      </c>
      <c r="D181" s="41"/>
      <c r="E181" s="41"/>
      <c r="F181" s="62" t="s">
        <v>652</v>
      </c>
      <c r="G181" s="63">
        <v>10</v>
      </c>
      <c r="H181" s="41"/>
      <c r="I181" s="41"/>
      <c r="J181" s="43">
        <v>45999</v>
      </c>
      <c r="K181" s="41" t="s">
        <v>66</v>
      </c>
    </row>
    <row r="182" spans="1:11" s="48" customFormat="1" hidden="1" x14ac:dyDescent="0.55000000000000004">
      <c r="A182" s="41" t="s">
        <v>81</v>
      </c>
      <c r="B182" s="41">
        <v>2025324</v>
      </c>
      <c r="C182" s="41" t="s">
        <v>676</v>
      </c>
      <c r="D182" s="41"/>
      <c r="E182" s="41"/>
      <c r="F182" s="41" t="s">
        <v>675</v>
      </c>
      <c r="G182" s="41">
        <v>25</v>
      </c>
      <c r="H182" s="41"/>
      <c r="I182" s="41"/>
      <c r="J182" s="43">
        <v>46003</v>
      </c>
      <c r="K182" s="41" t="s">
        <v>66</v>
      </c>
    </row>
    <row r="183" spans="1:11" s="48" customFormat="1" hidden="1" x14ac:dyDescent="0.55000000000000004">
      <c r="A183" s="41" t="s">
        <v>81</v>
      </c>
      <c r="B183" s="41">
        <v>2025336</v>
      </c>
      <c r="C183" s="41" t="s">
        <v>687</v>
      </c>
      <c r="D183" s="41"/>
      <c r="E183" s="41"/>
      <c r="F183" s="41" t="s">
        <v>685</v>
      </c>
      <c r="G183" s="41">
        <v>25</v>
      </c>
      <c r="H183" s="41"/>
      <c r="I183" s="41"/>
      <c r="J183" s="43">
        <v>46001</v>
      </c>
      <c r="K183" s="41" t="s">
        <v>66</v>
      </c>
    </row>
  </sheetData>
  <autoFilter ref="A1:K183" xr:uid="{91DB568D-AF5D-40DB-AD51-52C965C4220C}">
    <filterColumn colId="0">
      <filters>
        <filter val="Orthogone"/>
      </filters>
    </filterColumn>
  </autoFilter>
  <conditionalFormatting sqref="K1:K183">
    <cfRule type="containsText" dxfId="70" priority="71" operator="containsText" text="Shipped">
      <formula>NOT(ISERROR(SEARCH("Shipped",K1)))</formula>
    </cfRule>
    <cfRule type="containsText" dxfId="69" priority="72" operator="containsText" text="Packaging">
      <formula>NOT(ISERROR(SEARCH("Packaging",K1)))</formula>
    </cfRule>
    <cfRule type="containsText" dxfId="68" priority="73" operator="containsText" text="Final ">
      <formula>NOT(ISERROR(SEARCH("Final ",K1)))</formula>
    </cfRule>
    <cfRule type="containsText" dxfId="67" priority="74" operator="containsText" text="at Inspecting after RC from Conf.Coat.">
      <formula>NOT(ISERROR(SEARCH("at Inspecting after RC from Conf.Coat.",K1)))</formula>
    </cfRule>
    <cfRule type="containsText" dxfId="66" priority="75" operator="containsText" text="at Conformal Coating">
      <formula>NOT(ISERROR(SEARCH("at Conformal Coating",K1)))</formula>
    </cfRule>
    <cfRule type="containsText" dxfId="65" priority="76" operator="containsText" text="Through Hole">
      <formula>NOT(ISERROR(SEARCH("Through Hole",K1)))</formula>
    </cfRule>
    <cfRule type="containsText" dxfId="64" priority="77" operator="containsText" text="AOI">
      <formula>NOT(ISERROR(SEARCH("AOI",K1)))</formula>
    </cfRule>
    <cfRule type="containsText" dxfId="63" priority="78" operator="containsText" text="SMT Production">
      <formula>NOT(ISERROR(SEARCH("SMT Production",K1)))</formula>
    </cfRule>
    <cfRule type="containsText" dxfId="62" priority="79" operator="containsText" text="SMT Setup">
      <formula>NOT(ISERROR(SEARCH("SMT Setup",K1)))</formula>
    </cfRule>
    <cfRule type="containsText" dxfId="61" priority="80" operator="containsText" text="SMT Kitting">
      <formula>NOT(ISERROR(SEARCH("SMT Kitting",K1)))</formula>
    </cfRule>
    <cfRule type="containsText" dxfId="60" priority="81" operator="containsText" text="Receiving Inspection Completed">
      <formula>NOT(ISERROR(SEARCH("Receiving Inspection Completed",K1)))</formula>
    </cfRule>
    <cfRule type="containsText" dxfId="59" priority="82" operator="containsText" text="Receiving Inspection">
      <formula>NOT(ISERROR(SEARCH("Receiving Inspection",K1)))</formula>
    </cfRule>
    <cfRule type="containsText" dxfId="58" priority="83" operator="containsText" text="Purchasing Completed">
      <formula>NOT(ISERROR(SEARCH("Purchasing Completed",K1)))</formula>
    </cfRule>
    <cfRule type="containsText" dxfId="57" priority="84" operator="containsText" text="Purchasing in Progress">
      <formula>NOT(ISERROR(SEARCH("Purchasing in Progress",K1)))</formula>
    </cfRule>
  </conditionalFormatting>
  <conditionalFormatting sqref="K92:K134">
    <cfRule type="containsText" dxfId="56" priority="463" operator="containsText" text="Shipped">
      <formula>NOT(ISERROR(SEARCH("Shipped",K92)))</formula>
    </cfRule>
    <cfRule type="containsText" dxfId="55" priority="464" operator="containsText" text="Packaging">
      <formula>NOT(ISERROR(SEARCH("Packaging",K92)))</formula>
    </cfRule>
    <cfRule type="containsText" dxfId="54" priority="465" operator="containsText" text="Final ">
      <formula>NOT(ISERROR(SEARCH("Final ",K92)))</formula>
    </cfRule>
    <cfRule type="containsText" dxfId="53" priority="466" operator="containsText" text="at Inspecting after RC from Conf.Coat.">
      <formula>NOT(ISERROR(SEARCH("at Inspecting after RC from Conf.Coat.",K92)))</formula>
    </cfRule>
    <cfRule type="containsText" dxfId="52" priority="467" operator="containsText" text="at Conformal Coating">
      <formula>NOT(ISERROR(SEARCH("at Conformal Coating",K92)))</formula>
    </cfRule>
    <cfRule type="containsText" dxfId="51" priority="468" operator="containsText" text="Through Hole">
      <formula>NOT(ISERROR(SEARCH("Through Hole",K92)))</formula>
    </cfRule>
    <cfRule type="containsText" dxfId="50" priority="469" operator="containsText" text="AOI">
      <formula>NOT(ISERROR(SEARCH("AOI",K92)))</formula>
    </cfRule>
    <cfRule type="containsText" dxfId="49" priority="470" operator="containsText" text="SMT Production">
      <formula>NOT(ISERROR(SEARCH("SMT Production",K92)))</formula>
    </cfRule>
    <cfRule type="containsText" dxfId="48" priority="471" operator="containsText" text="SMT Setup">
      <formula>NOT(ISERROR(SEARCH("SMT Setup",K92)))</formula>
    </cfRule>
    <cfRule type="containsText" dxfId="47" priority="472" operator="containsText" text="SMT Kitting">
      <formula>NOT(ISERROR(SEARCH("SMT Kitting",K92)))</formula>
    </cfRule>
    <cfRule type="containsText" dxfId="46" priority="473" operator="containsText" text="Receiving Inspection Completed">
      <formula>NOT(ISERROR(SEARCH("Receiving Inspection Completed",K92)))</formula>
    </cfRule>
    <cfRule type="containsText" dxfId="45" priority="474" operator="containsText" text="Receiving Inspection">
      <formula>NOT(ISERROR(SEARCH("Receiving Inspection",K92)))</formula>
    </cfRule>
    <cfRule type="containsText" dxfId="44" priority="475" operator="containsText" text="Purchasing Completed">
      <formula>NOT(ISERROR(SEARCH("Purchasing Completed",K92)))</formula>
    </cfRule>
    <cfRule type="containsText" dxfId="43" priority="476" operator="containsText" text="Purchasing in Progress">
      <formula>NOT(ISERROR(SEARCH("Purchasing in Progress",K92)))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AB63E3-94B9-41CE-8094-FC1D0781BD10}">
          <x14:formula1>
            <xm:f>'Color Code'!$A$2:$A$15</xm:f>
          </x14:formula1>
          <xm:sqref>K1:K183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64E8-A574-4ED0-9E93-7D82BAFC1E3D}">
  <sheetPr codeName="Sheet3"/>
  <dimension ref="A1:K170"/>
  <sheetViews>
    <sheetView workbookViewId="0">
      <selection activeCell="E196" sqref="E196"/>
    </sheetView>
  </sheetViews>
  <sheetFormatPr defaultRowHeight="14.4" x14ac:dyDescent="0.55000000000000004"/>
  <cols>
    <col min="1" max="1" width="14.578125" bestFit="1" customWidth="1"/>
    <col min="2" max="2" width="16.15625" customWidth="1"/>
    <col min="3" max="3" width="10.26171875" bestFit="1" customWidth="1"/>
    <col min="4" max="4" width="10.26171875" customWidth="1"/>
    <col min="5" max="5" width="27.15625" bestFit="1" customWidth="1"/>
    <col min="6" max="6" width="30.41796875" bestFit="1" customWidth="1"/>
    <col min="7" max="7" width="19.578125" bestFit="1" customWidth="1"/>
    <col min="8" max="8" width="16.83984375" bestFit="1" customWidth="1"/>
    <col min="9" max="9" width="12.41796875" bestFit="1" customWidth="1"/>
    <col min="10" max="10" width="26.26171875" bestFit="1" customWidth="1"/>
    <col min="11" max="11" width="11" bestFit="1" customWidth="1"/>
  </cols>
  <sheetData>
    <row r="1" spans="1:11" x14ac:dyDescent="0.55000000000000004">
      <c r="A1" s="2" t="s">
        <v>0</v>
      </c>
      <c r="B1" s="2" t="s">
        <v>1</v>
      </c>
      <c r="C1" s="2" t="s">
        <v>71</v>
      </c>
      <c r="D1" s="2"/>
      <c r="E1" s="2" t="s">
        <v>70</v>
      </c>
      <c r="F1" s="2" t="s">
        <v>2</v>
      </c>
      <c r="G1" s="2" t="s">
        <v>3</v>
      </c>
      <c r="H1" s="2" t="s">
        <v>20</v>
      </c>
      <c r="I1" s="2" t="s">
        <v>21</v>
      </c>
      <c r="J1" s="2" t="s">
        <v>4</v>
      </c>
      <c r="K1" s="2" t="s">
        <v>5</v>
      </c>
    </row>
    <row r="2" spans="1:11" x14ac:dyDescent="0.55000000000000004">
      <c r="A2" s="1" t="s">
        <v>13</v>
      </c>
      <c r="B2" s="1" t="s">
        <v>12</v>
      </c>
      <c r="C2" s="1">
        <v>1</v>
      </c>
      <c r="D2" s="1"/>
      <c r="E2" s="1"/>
      <c r="F2" s="1" t="s">
        <v>14</v>
      </c>
      <c r="G2" s="1">
        <v>101</v>
      </c>
      <c r="H2" s="1">
        <v>101</v>
      </c>
      <c r="I2" s="1">
        <v>299</v>
      </c>
      <c r="J2" s="1" t="s">
        <v>15</v>
      </c>
      <c r="K2" s="1" t="s">
        <v>66</v>
      </c>
    </row>
    <row r="3" spans="1:11" x14ac:dyDescent="0.55000000000000004">
      <c r="A3" s="1" t="s">
        <v>45</v>
      </c>
      <c r="B3" s="1" t="s">
        <v>46</v>
      </c>
      <c r="C3" s="1"/>
      <c r="D3" s="1"/>
      <c r="E3" s="1"/>
      <c r="F3" s="1" t="s">
        <v>56</v>
      </c>
      <c r="G3" s="1">
        <v>24</v>
      </c>
      <c r="H3" s="1">
        <v>24</v>
      </c>
      <c r="I3" s="1">
        <v>0</v>
      </c>
      <c r="J3" s="1" t="s">
        <v>50</v>
      </c>
      <c r="K3" s="1" t="s">
        <v>66</v>
      </c>
    </row>
    <row r="4" spans="1:11" x14ac:dyDescent="0.55000000000000004">
      <c r="A4" s="1" t="s">
        <v>8</v>
      </c>
      <c r="B4" s="1" t="s">
        <v>9</v>
      </c>
      <c r="C4" s="1">
        <v>1</v>
      </c>
      <c r="D4" s="1"/>
      <c r="E4" s="1"/>
      <c r="F4" s="1" t="s">
        <v>6</v>
      </c>
      <c r="G4" s="1">
        <v>20</v>
      </c>
      <c r="H4" s="1">
        <v>20</v>
      </c>
      <c r="I4" s="1">
        <v>0</v>
      </c>
      <c r="J4" s="1" t="s">
        <v>7</v>
      </c>
      <c r="K4" s="1" t="s">
        <v>66</v>
      </c>
    </row>
    <row r="5" spans="1:11" x14ac:dyDescent="0.55000000000000004">
      <c r="A5" s="1" t="s">
        <v>8</v>
      </c>
      <c r="B5" s="1" t="s">
        <v>10</v>
      </c>
      <c r="C5" s="1">
        <v>1</v>
      </c>
      <c r="D5" s="1"/>
      <c r="E5" s="1"/>
      <c r="F5" s="1" t="s">
        <v>11</v>
      </c>
      <c r="G5" s="1">
        <v>15</v>
      </c>
      <c r="H5" s="1">
        <v>15</v>
      </c>
      <c r="I5" s="1">
        <v>0</v>
      </c>
      <c r="J5" s="1" t="s">
        <v>7</v>
      </c>
      <c r="K5" s="1" t="s">
        <v>66</v>
      </c>
    </row>
    <row r="6" spans="1:11" x14ac:dyDescent="0.55000000000000004">
      <c r="A6" s="1" t="s">
        <v>13</v>
      </c>
      <c r="B6" s="1" t="s">
        <v>12</v>
      </c>
      <c r="C6" s="1">
        <v>2</v>
      </c>
      <c r="D6" s="1"/>
      <c r="E6" s="1"/>
      <c r="F6" s="1" t="s">
        <v>14</v>
      </c>
      <c r="G6" s="1">
        <v>70</v>
      </c>
      <c r="H6" s="1">
        <v>70</v>
      </c>
      <c r="I6" s="1">
        <v>0</v>
      </c>
      <c r="J6" s="1" t="s">
        <v>15</v>
      </c>
      <c r="K6" s="1" t="s">
        <v>66</v>
      </c>
    </row>
    <row r="7" spans="1:11" x14ac:dyDescent="0.55000000000000004">
      <c r="A7" s="1" t="s">
        <v>13</v>
      </c>
      <c r="B7" s="1" t="s">
        <v>12</v>
      </c>
      <c r="C7" s="1">
        <v>3</v>
      </c>
      <c r="D7" s="1"/>
      <c r="E7" s="1"/>
      <c r="F7" s="1" t="s">
        <v>14</v>
      </c>
      <c r="G7" s="1">
        <v>99</v>
      </c>
      <c r="H7" s="1">
        <v>99</v>
      </c>
      <c r="I7" s="1">
        <v>200</v>
      </c>
      <c r="J7" s="1" t="s">
        <v>15</v>
      </c>
      <c r="K7" s="1" t="s">
        <v>66</v>
      </c>
    </row>
    <row r="8" spans="1:11" x14ac:dyDescent="0.55000000000000004">
      <c r="A8" s="1" t="s">
        <v>22</v>
      </c>
      <c r="B8" s="1">
        <v>12908</v>
      </c>
      <c r="C8" s="1">
        <v>1</v>
      </c>
      <c r="D8" s="1"/>
      <c r="E8" s="1"/>
      <c r="F8" s="1" t="s">
        <v>23</v>
      </c>
      <c r="G8" s="1">
        <v>500</v>
      </c>
      <c r="H8" s="1">
        <v>75</v>
      </c>
      <c r="I8" s="1">
        <v>0</v>
      </c>
      <c r="J8" s="1" t="s">
        <v>36</v>
      </c>
      <c r="K8" s="1" t="s">
        <v>66</v>
      </c>
    </row>
    <row r="9" spans="1:11" x14ac:dyDescent="0.55000000000000004">
      <c r="A9" s="1" t="s">
        <v>22</v>
      </c>
      <c r="B9" s="1">
        <v>12908</v>
      </c>
      <c r="C9" s="1">
        <v>2</v>
      </c>
      <c r="D9" s="1"/>
      <c r="E9" s="1"/>
      <c r="F9" s="1" t="s">
        <v>24</v>
      </c>
      <c r="G9" s="1">
        <v>500</v>
      </c>
      <c r="H9" s="1">
        <v>75</v>
      </c>
      <c r="I9" s="1">
        <v>0</v>
      </c>
      <c r="J9" s="1" t="s">
        <v>36</v>
      </c>
      <c r="K9" s="1" t="s">
        <v>66</v>
      </c>
    </row>
    <row r="10" spans="1:11" x14ac:dyDescent="0.55000000000000004">
      <c r="A10" s="1" t="s">
        <v>43</v>
      </c>
      <c r="B10" s="1" t="s">
        <v>44</v>
      </c>
      <c r="C10" s="1"/>
      <c r="D10" s="1"/>
      <c r="E10" s="1"/>
      <c r="F10" s="1" t="s">
        <v>42</v>
      </c>
      <c r="G10" s="1">
        <v>50</v>
      </c>
      <c r="H10" s="1">
        <v>50</v>
      </c>
      <c r="I10" s="1">
        <v>0</v>
      </c>
      <c r="J10" s="1"/>
      <c r="K10" s="1" t="s">
        <v>66</v>
      </c>
    </row>
    <row r="11" spans="1:11" x14ac:dyDescent="0.55000000000000004">
      <c r="A11" s="1" t="s">
        <v>37</v>
      </c>
      <c r="B11" s="1" t="s">
        <v>38</v>
      </c>
      <c r="C11" s="1"/>
      <c r="D11" s="1"/>
      <c r="E11" s="1"/>
      <c r="F11" s="1" t="s">
        <v>39</v>
      </c>
      <c r="G11" s="1">
        <v>1000</v>
      </c>
      <c r="H11" s="1">
        <v>1000</v>
      </c>
      <c r="I11" s="1">
        <v>0</v>
      </c>
      <c r="J11" s="1"/>
      <c r="K11" s="1" t="s">
        <v>66</v>
      </c>
    </row>
    <row r="12" spans="1:11" x14ac:dyDescent="0.55000000000000004">
      <c r="A12" s="1" t="s">
        <v>81</v>
      </c>
      <c r="B12" s="1">
        <v>2024023</v>
      </c>
      <c r="C12" s="1">
        <v>1</v>
      </c>
      <c r="D12" s="1"/>
      <c r="E12" s="1"/>
      <c r="F12" s="1" t="s">
        <v>87</v>
      </c>
      <c r="G12" s="1">
        <v>25</v>
      </c>
      <c r="H12" s="1"/>
      <c r="I12" s="1"/>
      <c r="J12" s="1" t="s">
        <v>88</v>
      </c>
      <c r="K12" s="1" t="s">
        <v>66</v>
      </c>
    </row>
    <row r="13" spans="1:11" x14ac:dyDescent="0.55000000000000004">
      <c r="A13" s="1" t="s">
        <v>81</v>
      </c>
      <c r="B13" s="1">
        <v>2024025</v>
      </c>
      <c r="C13" s="1">
        <v>1</v>
      </c>
      <c r="D13" s="1"/>
      <c r="E13" s="1"/>
      <c r="F13" s="1" t="s">
        <v>85</v>
      </c>
      <c r="G13" s="1">
        <v>2</v>
      </c>
      <c r="H13" s="1"/>
      <c r="I13" s="1"/>
      <c r="J13" s="1" t="s">
        <v>89</v>
      </c>
      <c r="K13" s="1" t="s">
        <v>66</v>
      </c>
    </row>
    <row r="14" spans="1:11" x14ac:dyDescent="0.55000000000000004">
      <c r="A14" s="1" t="s">
        <v>8</v>
      </c>
      <c r="B14" s="1" t="s">
        <v>74</v>
      </c>
      <c r="C14" s="1">
        <v>1</v>
      </c>
      <c r="D14" s="1"/>
      <c r="E14" s="1"/>
      <c r="F14" s="1" t="s">
        <v>75</v>
      </c>
      <c r="G14" s="1">
        <v>50</v>
      </c>
      <c r="H14" s="1">
        <v>50</v>
      </c>
      <c r="I14" s="1">
        <v>0</v>
      </c>
      <c r="J14" s="1" t="s">
        <v>76</v>
      </c>
      <c r="K14" s="1" t="s">
        <v>66</v>
      </c>
    </row>
    <row r="15" spans="1:11" x14ac:dyDescent="0.55000000000000004">
      <c r="A15" s="1" t="s">
        <v>8</v>
      </c>
      <c r="B15" s="1" t="s">
        <v>72</v>
      </c>
      <c r="C15" s="1">
        <v>1</v>
      </c>
      <c r="D15" s="1"/>
      <c r="E15" s="1"/>
      <c r="F15" s="1" t="s">
        <v>73</v>
      </c>
      <c r="G15" s="1">
        <v>50</v>
      </c>
      <c r="H15" s="1">
        <v>50</v>
      </c>
      <c r="I15" s="1">
        <v>0</v>
      </c>
      <c r="J15" s="1" t="s">
        <v>76</v>
      </c>
      <c r="K15" s="1" t="s">
        <v>66</v>
      </c>
    </row>
    <row r="16" spans="1:11" x14ac:dyDescent="0.55000000000000004">
      <c r="A16" s="1" t="s">
        <v>45</v>
      </c>
      <c r="B16" s="1" t="s">
        <v>46</v>
      </c>
      <c r="C16" s="1"/>
      <c r="D16" s="1"/>
      <c r="E16" s="1"/>
      <c r="F16" s="1" t="s">
        <v>48</v>
      </c>
      <c r="G16" s="1">
        <v>72</v>
      </c>
      <c r="H16" s="1"/>
      <c r="I16" s="1"/>
      <c r="J16" s="1" t="s">
        <v>50</v>
      </c>
      <c r="K16" s="1" t="s">
        <v>66</v>
      </c>
    </row>
    <row r="17" spans="1:11" x14ac:dyDescent="0.55000000000000004">
      <c r="A17" s="1" t="s">
        <v>45</v>
      </c>
      <c r="B17" s="1" t="s">
        <v>46</v>
      </c>
      <c r="C17" s="1"/>
      <c r="D17" s="1"/>
      <c r="E17" s="1"/>
      <c r="F17" s="1" t="s">
        <v>49</v>
      </c>
      <c r="G17" s="1">
        <v>24</v>
      </c>
      <c r="H17" s="1"/>
      <c r="I17" s="1"/>
      <c r="J17" s="1" t="s">
        <v>50</v>
      </c>
      <c r="K17" s="1" t="s">
        <v>66</v>
      </c>
    </row>
    <row r="18" spans="1:11" x14ac:dyDescent="0.55000000000000004">
      <c r="A18" s="1" t="s">
        <v>45</v>
      </c>
      <c r="B18" s="1" t="s">
        <v>46</v>
      </c>
      <c r="C18" s="1"/>
      <c r="D18" s="1"/>
      <c r="E18" s="1"/>
      <c r="F18" s="1" t="s">
        <v>51</v>
      </c>
      <c r="G18" s="1">
        <v>88</v>
      </c>
      <c r="H18" s="1"/>
      <c r="I18" s="1"/>
      <c r="J18" s="1" t="s">
        <v>50</v>
      </c>
      <c r="K18" s="1" t="s">
        <v>66</v>
      </c>
    </row>
    <row r="19" spans="1:11" x14ac:dyDescent="0.55000000000000004">
      <c r="A19" s="1" t="s">
        <v>45</v>
      </c>
      <c r="B19" s="1" t="s">
        <v>46</v>
      </c>
      <c r="C19" s="1"/>
      <c r="D19" s="1"/>
      <c r="E19" s="1"/>
      <c r="F19" s="1" t="s">
        <v>52</v>
      </c>
      <c r="G19" s="1">
        <v>25</v>
      </c>
      <c r="H19" s="1"/>
      <c r="I19" s="1"/>
      <c r="J19" s="1" t="s">
        <v>50</v>
      </c>
      <c r="K19" s="1" t="s">
        <v>66</v>
      </c>
    </row>
    <row r="20" spans="1:11" x14ac:dyDescent="0.55000000000000004">
      <c r="A20" s="1" t="s">
        <v>45</v>
      </c>
      <c r="B20" s="1" t="s">
        <v>46</v>
      </c>
      <c r="C20" s="1"/>
      <c r="D20" s="1"/>
      <c r="E20" s="1"/>
      <c r="F20" s="1" t="s">
        <v>54</v>
      </c>
      <c r="G20" s="1">
        <v>20</v>
      </c>
      <c r="H20" s="1"/>
      <c r="I20" s="1"/>
      <c r="J20" s="1" t="s">
        <v>50</v>
      </c>
      <c r="K20" s="1" t="s">
        <v>66</v>
      </c>
    </row>
    <row r="21" spans="1:11" x14ac:dyDescent="0.55000000000000004">
      <c r="A21" s="1" t="s">
        <v>45</v>
      </c>
      <c r="B21" s="1" t="s">
        <v>46</v>
      </c>
      <c r="C21" s="1"/>
      <c r="D21" s="1"/>
      <c r="E21" s="1"/>
      <c r="F21" s="1" t="s">
        <v>55</v>
      </c>
      <c r="G21" s="1">
        <v>20</v>
      </c>
      <c r="H21" s="1"/>
      <c r="I21" s="1"/>
      <c r="J21" s="1" t="s">
        <v>50</v>
      </c>
      <c r="K21" s="1" t="s">
        <v>66</v>
      </c>
    </row>
    <row r="22" spans="1:11" x14ac:dyDescent="0.55000000000000004">
      <c r="A22" s="1" t="s">
        <v>45</v>
      </c>
      <c r="B22" s="1" t="s">
        <v>46</v>
      </c>
      <c r="C22" s="1"/>
      <c r="D22" s="1"/>
      <c r="E22" s="1"/>
      <c r="F22" s="3" t="s">
        <v>47</v>
      </c>
      <c r="G22" s="1">
        <v>25</v>
      </c>
      <c r="H22" s="1"/>
      <c r="I22" s="1"/>
      <c r="J22" s="1" t="s">
        <v>50</v>
      </c>
      <c r="K22" s="1" t="s">
        <v>66</v>
      </c>
    </row>
    <row r="23" spans="1:11" x14ac:dyDescent="0.55000000000000004">
      <c r="A23" s="1" t="s">
        <v>22</v>
      </c>
      <c r="B23" s="1">
        <v>13136</v>
      </c>
      <c r="C23" s="1"/>
      <c r="D23" s="1"/>
      <c r="E23" s="1"/>
      <c r="F23" s="1" t="s">
        <v>92</v>
      </c>
      <c r="G23" s="1">
        <v>60</v>
      </c>
      <c r="H23" s="1">
        <v>60</v>
      </c>
      <c r="I23" s="1">
        <v>0</v>
      </c>
      <c r="J23" s="1" t="s">
        <v>50</v>
      </c>
      <c r="K23" s="1" t="s">
        <v>66</v>
      </c>
    </row>
    <row r="24" spans="1:11" x14ac:dyDescent="0.55000000000000004">
      <c r="A24" s="1" t="s">
        <v>22</v>
      </c>
      <c r="B24" s="1">
        <v>13136</v>
      </c>
      <c r="C24" s="1"/>
      <c r="D24" s="1"/>
      <c r="E24" s="1"/>
      <c r="F24" s="1" t="s">
        <v>93</v>
      </c>
      <c r="G24" s="1">
        <v>60</v>
      </c>
      <c r="H24" s="1">
        <v>60</v>
      </c>
      <c r="I24" s="1">
        <v>0</v>
      </c>
      <c r="J24" s="1" t="s">
        <v>50</v>
      </c>
      <c r="K24" s="1" t="s">
        <v>66</v>
      </c>
    </row>
    <row r="25" spans="1:11" x14ac:dyDescent="0.55000000000000004">
      <c r="A25" s="1" t="s">
        <v>19</v>
      </c>
      <c r="B25" s="1">
        <v>98179</v>
      </c>
      <c r="C25" s="1">
        <v>1</v>
      </c>
      <c r="D25" s="1"/>
      <c r="E25" s="1"/>
      <c r="F25" s="1" t="s">
        <v>18</v>
      </c>
      <c r="G25" s="1">
        <v>105</v>
      </c>
      <c r="H25" s="1">
        <v>105</v>
      </c>
      <c r="I25" s="1"/>
      <c r="J25" s="1" t="s">
        <v>7</v>
      </c>
      <c r="K25" s="1" t="s">
        <v>66</v>
      </c>
    </row>
    <row r="26" spans="1:11" x14ac:dyDescent="0.55000000000000004">
      <c r="A26" s="1" t="s">
        <v>81</v>
      </c>
      <c r="B26" s="1">
        <v>2024025</v>
      </c>
      <c r="C26" s="1">
        <v>2</v>
      </c>
      <c r="D26" s="1"/>
      <c r="E26" s="1"/>
      <c r="F26" s="1" t="s">
        <v>86</v>
      </c>
      <c r="G26" s="1">
        <v>1</v>
      </c>
      <c r="H26" s="1"/>
      <c r="I26" s="1"/>
      <c r="J26" s="1" t="s">
        <v>89</v>
      </c>
      <c r="K26" s="1" t="s">
        <v>66</v>
      </c>
    </row>
    <row r="27" spans="1:11" x14ac:dyDescent="0.55000000000000004">
      <c r="A27" s="1" t="s">
        <v>81</v>
      </c>
      <c r="B27" s="1">
        <v>2024030</v>
      </c>
      <c r="C27" s="1">
        <v>1</v>
      </c>
      <c r="D27" s="1"/>
      <c r="E27" s="1"/>
      <c r="F27" s="1" t="s">
        <v>82</v>
      </c>
      <c r="G27" s="1">
        <v>60</v>
      </c>
      <c r="H27" s="1"/>
      <c r="I27" s="1"/>
      <c r="J27" s="1" t="s">
        <v>83</v>
      </c>
      <c r="K27" s="1" t="s">
        <v>66</v>
      </c>
    </row>
    <row r="28" spans="1:11" x14ac:dyDescent="0.55000000000000004">
      <c r="A28" s="1" t="s">
        <v>81</v>
      </c>
      <c r="B28" s="1">
        <v>2024031</v>
      </c>
      <c r="C28" s="1">
        <v>1</v>
      </c>
      <c r="D28" s="1"/>
      <c r="E28" s="1"/>
      <c r="F28" s="1" t="s">
        <v>84</v>
      </c>
      <c r="G28" s="1">
        <v>50</v>
      </c>
      <c r="H28" s="1"/>
      <c r="I28" s="1"/>
      <c r="J28" s="1" t="s">
        <v>83</v>
      </c>
      <c r="K28" s="1" t="s">
        <v>66</v>
      </c>
    </row>
    <row r="29" spans="1:11" x14ac:dyDescent="0.55000000000000004">
      <c r="A29" s="1" t="s">
        <v>81</v>
      </c>
      <c r="B29" s="1">
        <v>2024036</v>
      </c>
      <c r="C29" s="1">
        <v>1</v>
      </c>
      <c r="D29" s="1"/>
      <c r="E29" s="1"/>
      <c r="F29" s="1" t="s">
        <v>94</v>
      </c>
      <c r="G29" s="1">
        <v>25</v>
      </c>
      <c r="H29" s="1">
        <v>25</v>
      </c>
      <c r="I29" s="1"/>
      <c r="J29" s="1" t="s">
        <v>34</v>
      </c>
      <c r="K29" s="1" t="s">
        <v>66</v>
      </c>
    </row>
    <row r="30" spans="1:11" x14ac:dyDescent="0.55000000000000004">
      <c r="A30" s="1" t="s">
        <v>45</v>
      </c>
      <c r="B30" s="1" t="s">
        <v>46</v>
      </c>
      <c r="C30" s="1"/>
      <c r="D30" s="1"/>
      <c r="E30" s="1"/>
      <c r="F30" s="1" t="s">
        <v>53</v>
      </c>
      <c r="G30" s="1">
        <v>20</v>
      </c>
      <c r="H30" s="1"/>
      <c r="I30" s="1"/>
      <c r="J30" s="1" t="s">
        <v>50</v>
      </c>
      <c r="K30" s="1" t="s">
        <v>66</v>
      </c>
    </row>
    <row r="31" spans="1:11" x14ac:dyDescent="0.55000000000000004">
      <c r="A31" s="1" t="s">
        <v>45</v>
      </c>
      <c r="B31" s="1" t="s">
        <v>46</v>
      </c>
      <c r="C31" s="1"/>
      <c r="D31" s="1"/>
      <c r="E31" s="1"/>
      <c r="F31" s="1" t="s">
        <v>58</v>
      </c>
      <c r="G31" s="1">
        <v>58</v>
      </c>
      <c r="H31" s="1"/>
      <c r="I31" s="1"/>
      <c r="J31" s="1" t="s">
        <v>50</v>
      </c>
      <c r="K31" s="1" t="s">
        <v>66</v>
      </c>
    </row>
    <row r="32" spans="1:11" x14ac:dyDescent="0.55000000000000004">
      <c r="A32" s="1" t="s">
        <v>29</v>
      </c>
      <c r="B32" s="1" t="s">
        <v>33</v>
      </c>
      <c r="C32" s="1"/>
      <c r="D32" s="1"/>
      <c r="E32" s="1"/>
      <c r="F32" s="1" t="s">
        <v>32</v>
      </c>
      <c r="G32" s="1">
        <v>600</v>
      </c>
      <c r="H32" s="1">
        <v>600</v>
      </c>
      <c r="I32" s="1">
        <v>0</v>
      </c>
      <c r="J32" s="1"/>
      <c r="K32" s="1" t="s">
        <v>66</v>
      </c>
    </row>
    <row r="33" spans="1:11" x14ac:dyDescent="0.55000000000000004">
      <c r="A33" s="1" t="s">
        <v>45</v>
      </c>
      <c r="B33" s="1" t="s">
        <v>46</v>
      </c>
      <c r="C33" s="1"/>
      <c r="D33" s="1"/>
      <c r="E33" s="1"/>
      <c r="F33" s="1" t="s">
        <v>57</v>
      </c>
      <c r="G33" s="1">
        <v>20</v>
      </c>
      <c r="H33" s="1"/>
      <c r="I33" s="1"/>
      <c r="J33" s="1" t="s">
        <v>50</v>
      </c>
      <c r="K33" s="1" t="s">
        <v>66</v>
      </c>
    </row>
    <row r="34" spans="1:11" x14ac:dyDescent="0.55000000000000004">
      <c r="A34" s="1" t="s">
        <v>45</v>
      </c>
      <c r="B34" s="1" t="s">
        <v>99</v>
      </c>
      <c r="C34" s="1"/>
      <c r="D34" s="1"/>
      <c r="E34" s="1"/>
      <c r="F34" s="1" t="s">
        <v>47</v>
      </c>
      <c r="G34" s="1">
        <v>25</v>
      </c>
      <c r="H34" s="1"/>
      <c r="I34" s="1"/>
      <c r="J34" s="1"/>
      <c r="K34" s="1" t="s">
        <v>66</v>
      </c>
    </row>
    <row r="35" spans="1:11" x14ac:dyDescent="0.55000000000000004">
      <c r="A35" s="1" t="s">
        <v>45</v>
      </c>
      <c r="B35" s="1" t="s">
        <v>99</v>
      </c>
      <c r="C35" s="1"/>
      <c r="D35" s="1"/>
      <c r="E35" s="1"/>
      <c r="F35" s="1" t="s">
        <v>51</v>
      </c>
      <c r="G35" s="1">
        <v>40</v>
      </c>
      <c r="H35" s="1"/>
      <c r="I35" s="1"/>
      <c r="J35" s="1"/>
      <c r="K35" s="1" t="s">
        <v>66</v>
      </c>
    </row>
    <row r="36" spans="1:11" x14ac:dyDescent="0.55000000000000004">
      <c r="A36" s="1" t="s">
        <v>81</v>
      </c>
      <c r="B36" s="1">
        <v>2024038</v>
      </c>
      <c r="C36" s="1">
        <v>1</v>
      </c>
      <c r="D36" s="1"/>
      <c r="E36" s="1"/>
      <c r="F36" s="1" t="s">
        <v>96</v>
      </c>
      <c r="G36" s="1">
        <v>70</v>
      </c>
      <c r="H36" s="1"/>
      <c r="I36" s="1"/>
      <c r="J36" s="1" t="s">
        <v>98</v>
      </c>
      <c r="K36" s="1" t="s">
        <v>66</v>
      </c>
    </row>
    <row r="37" spans="1:11" x14ac:dyDescent="0.55000000000000004">
      <c r="A37" s="1" t="s">
        <v>81</v>
      </c>
      <c r="B37" s="1">
        <v>2024039</v>
      </c>
      <c r="C37" s="1">
        <v>1</v>
      </c>
      <c r="D37" s="1"/>
      <c r="E37" s="1"/>
      <c r="F37" s="1" t="s">
        <v>97</v>
      </c>
      <c r="G37" s="1">
        <v>25</v>
      </c>
      <c r="H37" s="1"/>
      <c r="I37" s="1"/>
      <c r="J37" s="1" t="s">
        <v>98</v>
      </c>
      <c r="K37" s="1" t="s">
        <v>66</v>
      </c>
    </row>
    <row r="38" spans="1:11" x14ac:dyDescent="0.55000000000000004">
      <c r="A38" s="1" t="s">
        <v>19</v>
      </c>
      <c r="B38" s="1">
        <v>99668</v>
      </c>
      <c r="C38" s="1">
        <v>1</v>
      </c>
      <c r="D38" s="1"/>
      <c r="E38" s="1"/>
      <c r="F38" s="1" t="s">
        <v>18</v>
      </c>
      <c r="G38" s="1">
        <v>105</v>
      </c>
      <c r="H38" s="1"/>
      <c r="I38" s="1"/>
      <c r="J38" s="1" t="s">
        <v>34</v>
      </c>
      <c r="K38" s="1" t="s">
        <v>66</v>
      </c>
    </row>
    <row r="39" spans="1:11" x14ac:dyDescent="0.55000000000000004">
      <c r="A39" s="1" t="s">
        <v>29</v>
      </c>
      <c r="B39" s="1" t="s">
        <v>30</v>
      </c>
      <c r="C39" s="1"/>
      <c r="D39" s="1"/>
      <c r="E39" s="1"/>
      <c r="F39" s="1" t="s">
        <v>31</v>
      </c>
      <c r="G39" s="1">
        <v>600</v>
      </c>
      <c r="H39" s="1">
        <f>423+72+105</f>
        <v>600</v>
      </c>
      <c r="I39" s="1">
        <f>G39-H39</f>
        <v>0</v>
      </c>
      <c r="J39" s="1"/>
      <c r="K39" s="1" t="s">
        <v>66</v>
      </c>
    </row>
    <row r="40" spans="1:11" x14ac:dyDescent="0.55000000000000004">
      <c r="A40" s="1" t="s">
        <v>37</v>
      </c>
      <c r="B40" s="1" t="s">
        <v>38</v>
      </c>
      <c r="C40" s="1"/>
      <c r="D40" s="1"/>
      <c r="E40" s="1"/>
      <c r="F40" s="1" t="s">
        <v>40</v>
      </c>
      <c r="G40" s="1">
        <v>1000</v>
      </c>
      <c r="H40" s="1">
        <f>699+116+146+39</f>
        <v>1000</v>
      </c>
      <c r="I40" s="1">
        <f>G40-H40</f>
        <v>0</v>
      </c>
      <c r="J40" s="1"/>
      <c r="K40" s="1" t="s">
        <v>66</v>
      </c>
    </row>
    <row r="41" spans="1:11" x14ac:dyDescent="0.55000000000000004">
      <c r="A41" s="1" t="s">
        <v>37</v>
      </c>
      <c r="B41" s="1" t="s">
        <v>38</v>
      </c>
      <c r="C41" s="1"/>
      <c r="D41" s="1"/>
      <c r="E41" s="1"/>
      <c r="F41" s="1" t="s">
        <v>41</v>
      </c>
      <c r="G41" s="1">
        <v>1000</v>
      </c>
      <c r="H41" s="1">
        <f>695+150+155</f>
        <v>1000</v>
      </c>
      <c r="I41" s="1">
        <f>305-150-155</f>
        <v>0</v>
      </c>
      <c r="J41" s="1"/>
      <c r="K41" s="1" t="s">
        <v>66</v>
      </c>
    </row>
    <row r="42" spans="1:11" x14ac:dyDescent="0.55000000000000004">
      <c r="A42" s="1" t="s">
        <v>105</v>
      </c>
      <c r="B42" s="1" t="s">
        <v>106</v>
      </c>
      <c r="C42" s="1"/>
      <c r="D42" s="1"/>
      <c r="E42" s="1" t="s">
        <v>122</v>
      </c>
      <c r="F42" s="1" t="s">
        <v>107</v>
      </c>
      <c r="G42" s="1">
        <v>200</v>
      </c>
      <c r="H42" s="1"/>
      <c r="I42" s="1"/>
      <c r="J42" s="1" t="s">
        <v>108</v>
      </c>
      <c r="K42" s="1" t="s">
        <v>66</v>
      </c>
    </row>
    <row r="43" spans="1:11" x14ac:dyDescent="0.55000000000000004">
      <c r="A43" s="1" t="s">
        <v>13</v>
      </c>
      <c r="B43" s="1" t="s">
        <v>12</v>
      </c>
      <c r="C43" s="1">
        <v>4</v>
      </c>
      <c r="D43" s="1"/>
      <c r="E43" s="1" t="s">
        <v>116</v>
      </c>
      <c r="F43" s="1" t="s">
        <v>14</v>
      </c>
      <c r="G43" s="1">
        <v>200</v>
      </c>
      <c r="H43" s="1"/>
      <c r="I43" s="1"/>
      <c r="J43" s="1" t="s">
        <v>15</v>
      </c>
      <c r="K43" s="1" t="s">
        <v>66</v>
      </c>
    </row>
    <row r="44" spans="1:11" x14ac:dyDescent="0.55000000000000004">
      <c r="A44" s="1" t="s">
        <v>81</v>
      </c>
      <c r="B44" s="1">
        <v>2024053</v>
      </c>
      <c r="C44" s="1"/>
      <c r="D44" s="1"/>
      <c r="E44" s="1"/>
      <c r="F44" s="1" t="s">
        <v>100</v>
      </c>
      <c r="G44" s="1">
        <v>5</v>
      </c>
      <c r="H44" s="1"/>
      <c r="I44" s="1"/>
      <c r="J44" s="1"/>
      <c r="K44" s="1" t="s">
        <v>66</v>
      </c>
    </row>
    <row r="45" spans="1:11" x14ac:dyDescent="0.55000000000000004">
      <c r="A45" s="1" t="s">
        <v>81</v>
      </c>
      <c r="B45" s="1">
        <v>2024087</v>
      </c>
      <c r="C45" s="1"/>
      <c r="D45" s="1"/>
      <c r="E45" s="1"/>
      <c r="F45" s="1" t="s">
        <v>127</v>
      </c>
      <c r="G45" s="1">
        <v>10</v>
      </c>
      <c r="H45" s="1">
        <v>10</v>
      </c>
      <c r="I45" s="1"/>
      <c r="J45" s="17">
        <v>45380</v>
      </c>
      <c r="K45" s="1" t="s">
        <v>66</v>
      </c>
    </row>
    <row r="46" spans="1:11" x14ac:dyDescent="0.55000000000000004">
      <c r="A46" s="1" t="s">
        <v>19</v>
      </c>
      <c r="B46" s="1">
        <v>99668</v>
      </c>
      <c r="C46" s="1">
        <v>2</v>
      </c>
      <c r="D46" s="1"/>
      <c r="E46" s="1"/>
      <c r="F46" s="1" t="s">
        <v>18</v>
      </c>
      <c r="G46" s="1">
        <v>100</v>
      </c>
      <c r="H46" s="1">
        <v>100</v>
      </c>
      <c r="I46" s="1">
        <v>0</v>
      </c>
      <c r="J46" s="1" t="s">
        <v>35</v>
      </c>
      <c r="K46" s="1" t="s">
        <v>66</v>
      </c>
    </row>
    <row r="47" spans="1:11" x14ac:dyDescent="0.55000000000000004">
      <c r="A47" s="1" t="s">
        <v>45</v>
      </c>
      <c r="B47" s="1" t="s">
        <v>99</v>
      </c>
      <c r="C47" s="1"/>
      <c r="D47" s="1"/>
      <c r="E47" s="1"/>
      <c r="F47" s="1" t="s">
        <v>49</v>
      </c>
      <c r="G47" s="1">
        <v>28</v>
      </c>
      <c r="H47" s="1"/>
      <c r="I47" s="1"/>
      <c r="J47" s="1"/>
      <c r="K47" s="1" t="s">
        <v>66</v>
      </c>
    </row>
    <row r="48" spans="1:11" x14ac:dyDescent="0.55000000000000004">
      <c r="A48" s="1" t="s">
        <v>45</v>
      </c>
      <c r="B48" s="1" t="s">
        <v>117</v>
      </c>
      <c r="C48" s="1"/>
      <c r="D48" s="1"/>
      <c r="E48" s="1"/>
      <c r="F48" s="1" t="s">
        <v>49</v>
      </c>
      <c r="G48" s="1">
        <v>20</v>
      </c>
      <c r="H48" s="1"/>
      <c r="I48" s="1"/>
      <c r="J48" s="1" t="s">
        <v>118</v>
      </c>
      <c r="K48" s="1" t="s">
        <v>66</v>
      </c>
    </row>
    <row r="49" spans="1:11" x14ac:dyDescent="0.55000000000000004">
      <c r="A49" s="1" t="s">
        <v>8</v>
      </c>
      <c r="B49" s="1" t="s">
        <v>91</v>
      </c>
      <c r="C49" s="1"/>
      <c r="D49" s="1"/>
      <c r="E49" s="1"/>
      <c r="F49" s="1" t="s">
        <v>90</v>
      </c>
      <c r="G49" s="1">
        <v>75</v>
      </c>
      <c r="H49" s="1">
        <f>15+13+46</f>
        <v>74</v>
      </c>
      <c r="I49" s="1">
        <f>G49-H49</f>
        <v>1</v>
      </c>
      <c r="J49" s="1" t="s">
        <v>76</v>
      </c>
      <c r="K49" s="1" t="s">
        <v>66</v>
      </c>
    </row>
    <row r="50" spans="1:11" x14ac:dyDescent="0.55000000000000004">
      <c r="A50" s="1" t="s">
        <v>22</v>
      </c>
      <c r="B50" s="1">
        <v>13248</v>
      </c>
      <c r="C50" s="1"/>
      <c r="D50" s="1"/>
      <c r="E50" s="1"/>
      <c r="F50" s="1" t="s">
        <v>129</v>
      </c>
      <c r="G50" s="1">
        <v>100</v>
      </c>
      <c r="H50" s="1"/>
      <c r="I50" s="1"/>
      <c r="J50" s="17">
        <v>45371</v>
      </c>
      <c r="K50" s="1" t="s">
        <v>66</v>
      </c>
    </row>
    <row r="51" spans="1:11" x14ac:dyDescent="0.55000000000000004">
      <c r="A51" s="1" t="s">
        <v>22</v>
      </c>
      <c r="B51" s="1">
        <v>13248</v>
      </c>
      <c r="C51" s="1"/>
      <c r="D51" s="1"/>
      <c r="E51" s="1"/>
      <c r="F51" s="1" t="s">
        <v>93</v>
      </c>
      <c r="G51" s="1">
        <v>88</v>
      </c>
      <c r="H51" s="1"/>
      <c r="I51" s="1"/>
      <c r="J51" s="17">
        <v>45371</v>
      </c>
      <c r="K51" s="1" t="s">
        <v>66</v>
      </c>
    </row>
    <row r="52" spans="1:11" x14ac:dyDescent="0.55000000000000004">
      <c r="A52" s="1" t="s">
        <v>81</v>
      </c>
      <c r="B52" s="1">
        <v>2024096</v>
      </c>
      <c r="C52" s="1"/>
      <c r="D52" s="1"/>
      <c r="E52" s="1"/>
      <c r="F52" s="1" t="s">
        <v>126</v>
      </c>
      <c r="G52" s="1">
        <v>200</v>
      </c>
      <c r="H52" s="1">
        <v>200</v>
      </c>
      <c r="I52" s="1">
        <v>0</v>
      </c>
      <c r="J52" s="17">
        <v>45387</v>
      </c>
      <c r="K52" s="1" t="s">
        <v>66</v>
      </c>
    </row>
    <row r="53" spans="1:11" x14ac:dyDescent="0.55000000000000004">
      <c r="A53" s="1" t="s">
        <v>37</v>
      </c>
      <c r="B53" s="1" t="s">
        <v>103</v>
      </c>
      <c r="C53" s="1"/>
      <c r="D53" s="1"/>
      <c r="E53" s="1" t="s">
        <v>136</v>
      </c>
      <c r="F53" s="1" t="s">
        <v>39</v>
      </c>
      <c r="G53" s="1">
        <v>150</v>
      </c>
      <c r="H53" s="1">
        <f>140+10</f>
        <v>150</v>
      </c>
      <c r="I53" s="1">
        <v>0</v>
      </c>
      <c r="J53" s="17">
        <v>45352</v>
      </c>
      <c r="K53" s="1" t="s">
        <v>66</v>
      </c>
    </row>
    <row r="54" spans="1:11" x14ac:dyDescent="0.55000000000000004">
      <c r="A54" s="1" t="s">
        <v>45</v>
      </c>
      <c r="B54" s="1" t="s">
        <v>117</v>
      </c>
      <c r="C54" s="1"/>
      <c r="D54" s="1"/>
      <c r="E54" s="1"/>
      <c r="F54" s="1" t="s">
        <v>47</v>
      </c>
      <c r="G54" s="1">
        <v>50</v>
      </c>
      <c r="H54" s="1"/>
      <c r="I54" s="1"/>
      <c r="J54" s="1" t="s">
        <v>118</v>
      </c>
      <c r="K54" s="1" t="s">
        <v>66</v>
      </c>
    </row>
    <row r="55" spans="1:11" x14ac:dyDescent="0.55000000000000004">
      <c r="A55" s="1" t="s">
        <v>81</v>
      </c>
      <c r="B55" s="1">
        <v>2024103</v>
      </c>
      <c r="C55" s="1"/>
      <c r="D55" s="1"/>
      <c r="E55" s="1"/>
      <c r="F55" s="1" t="s">
        <v>128</v>
      </c>
      <c r="G55" s="1">
        <v>100</v>
      </c>
      <c r="H55" s="1"/>
      <c r="I55" s="1"/>
      <c r="J55" s="17">
        <v>45389</v>
      </c>
      <c r="K55" s="1" t="s">
        <v>66</v>
      </c>
    </row>
    <row r="56" spans="1:11" x14ac:dyDescent="0.55000000000000004">
      <c r="A56" s="1" t="s">
        <v>43</v>
      </c>
      <c r="B56" s="1" t="s">
        <v>145</v>
      </c>
      <c r="C56" s="1"/>
      <c r="D56" s="1"/>
      <c r="E56" s="1"/>
      <c r="F56" s="1" t="s">
        <v>146</v>
      </c>
      <c r="G56" s="1">
        <v>5</v>
      </c>
      <c r="H56" s="1"/>
      <c r="I56" s="1"/>
      <c r="J56" s="1" t="s">
        <v>17</v>
      </c>
      <c r="K56" s="1" t="s">
        <v>66</v>
      </c>
    </row>
    <row r="57" spans="1:11" x14ac:dyDescent="0.55000000000000004">
      <c r="A57" s="1" t="s">
        <v>45</v>
      </c>
      <c r="B57" s="1" t="s">
        <v>125</v>
      </c>
      <c r="C57" s="1"/>
      <c r="D57" s="1"/>
      <c r="E57" s="1"/>
      <c r="F57" s="1" t="s">
        <v>54</v>
      </c>
      <c r="G57" s="1">
        <v>25</v>
      </c>
      <c r="H57" s="1">
        <v>25</v>
      </c>
      <c r="I57" s="1">
        <v>0</v>
      </c>
      <c r="J57" s="1" t="s">
        <v>17</v>
      </c>
      <c r="K57" s="1" t="s">
        <v>66</v>
      </c>
    </row>
    <row r="58" spans="1:11" x14ac:dyDescent="0.55000000000000004">
      <c r="A58" s="1" t="s">
        <v>45</v>
      </c>
      <c r="B58" s="1" t="s">
        <v>117</v>
      </c>
      <c r="C58" s="1"/>
      <c r="D58" s="1"/>
      <c r="E58" s="1"/>
      <c r="F58" s="1" t="s">
        <v>58</v>
      </c>
      <c r="G58" s="1">
        <v>96</v>
      </c>
      <c r="H58" s="1">
        <v>48</v>
      </c>
      <c r="I58" s="1">
        <v>48</v>
      </c>
      <c r="J58" s="1" t="s">
        <v>118</v>
      </c>
      <c r="K58" s="1" t="s">
        <v>66</v>
      </c>
    </row>
    <row r="59" spans="1:11" x14ac:dyDescent="0.55000000000000004">
      <c r="A59" s="1" t="s">
        <v>81</v>
      </c>
      <c r="B59" s="1">
        <v>2024135</v>
      </c>
      <c r="C59" s="1"/>
      <c r="D59" s="1"/>
      <c r="E59" s="1"/>
      <c r="F59" s="1" t="s">
        <v>134</v>
      </c>
      <c r="G59" s="1">
        <v>100</v>
      </c>
      <c r="H59" s="1">
        <f>26+74</f>
        <v>100</v>
      </c>
      <c r="I59" s="1">
        <f>G59-H59</f>
        <v>0</v>
      </c>
      <c r="J59" s="1" t="s">
        <v>135</v>
      </c>
      <c r="K59" s="1" t="s">
        <v>66</v>
      </c>
    </row>
    <row r="60" spans="1:11" x14ac:dyDescent="0.55000000000000004">
      <c r="A60" s="1" t="s">
        <v>81</v>
      </c>
      <c r="B60" s="1">
        <v>2024143</v>
      </c>
      <c r="C60" s="1"/>
      <c r="D60" s="1"/>
      <c r="E60" s="1"/>
      <c r="F60" s="1" t="s">
        <v>140</v>
      </c>
      <c r="G60" s="1">
        <v>10</v>
      </c>
      <c r="H60" s="1"/>
      <c r="I60" s="1"/>
      <c r="J60" s="1" t="s">
        <v>141</v>
      </c>
      <c r="K60" s="1" t="s">
        <v>66</v>
      </c>
    </row>
    <row r="61" spans="1:11" x14ac:dyDescent="0.55000000000000004">
      <c r="A61" s="1" t="s">
        <v>37</v>
      </c>
      <c r="B61" s="1" t="s">
        <v>103</v>
      </c>
      <c r="C61" s="1"/>
      <c r="D61" s="1"/>
      <c r="E61" s="1" t="s">
        <v>137</v>
      </c>
      <c r="F61" s="1" t="s">
        <v>40</v>
      </c>
      <c r="G61" s="1">
        <v>250</v>
      </c>
      <c r="H61" s="1">
        <f>100+150</f>
        <v>250</v>
      </c>
      <c r="I61" s="1">
        <v>0</v>
      </c>
      <c r="J61" s="1" t="s">
        <v>104</v>
      </c>
      <c r="K61" s="1" t="s">
        <v>66</v>
      </c>
    </row>
    <row r="62" spans="1:11" x14ac:dyDescent="0.55000000000000004">
      <c r="A62" s="1" t="s">
        <v>22</v>
      </c>
      <c r="B62" s="1">
        <v>13279</v>
      </c>
      <c r="C62" s="1"/>
      <c r="D62" s="1"/>
      <c r="E62" s="1"/>
      <c r="F62" s="1" t="s">
        <v>132</v>
      </c>
      <c r="G62" s="1">
        <v>20</v>
      </c>
      <c r="H62" s="1"/>
      <c r="I62" s="1"/>
      <c r="J62" s="1" t="s">
        <v>133</v>
      </c>
      <c r="K62" s="1" t="s">
        <v>66</v>
      </c>
    </row>
    <row r="63" spans="1:11" x14ac:dyDescent="0.55000000000000004">
      <c r="A63" s="1" t="s">
        <v>45</v>
      </c>
      <c r="B63" s="1" t="s">
        <v>125</v>
      </c>
      <c r="C63" s="1"/>
      <c r="D63" s="1"/>
      <c r="E63" s="1"/>
      <c r="F63" s="1" t="s">
        <v>124</v>
      </c>
      <c r="G63" s="1">
        <v>80</v>
      </c>
      <c r="H63" s="1"/>
      <c r="I63" s="1"/>
      <c r="J63" s="1" t="s">
        <v>17</v>
      </c>
      <c r="K63" s="1" t="s">
        <v>66</v>
      </c>
    </row>
    <row r="64" spans="1:11" x14ac:dyDescent="0.55000000000000004">
      <c r="A64" s="1" t="s">
        <v>45</v>
      </c>
      <c r="B64" s="1" t="s">
        <v>125</v>
      </c>
      <c r="C64" s="1"/>
      <c r="D64" s="1"/>
      <c r="E64" s="1"/>
      <c r="F64" s="1" t="s">
        <v>53</v>
      </c>
      <c r="G64" s="1">
        <v>25</v>
      </c>
      <c r="H64" s="1"/>
      <c r="I64" s="1"/>
      <c r="J64" s="1" t="s">
        <v>17</v>
      </c>
      <c r="K64" s="1" t="s">
        <v>66</v>
      </c>
    </row>
    <row r="65" spans="1:11" x14ac:dyDescent="0.55000000000000004">
      <c r="A65" s="1" t="s">
        <v>45</v>
      </c>
      <c r="B65" s="1" t="s">
        <v>125</v>
      </c>
      <c r="C65" s="1"/>
      <c r="D65" s="1"/>
      <c r="E65" s="1"/>
      <c r="F65" s="1" t="s">
        <v>123</v>
      </c>
      <c r="G65" s="1">
        <v>20</v>
      </c>
      <c r="H65" s="1"/>
      <c r="I65" s="1"/>
      <c r="J65" s="1" t="s">
        <v>17</v>
      </c>
      <c r="K65" s="1" t="s">
        <v>66</v>
      </c>
    </row>
    <row r="66" spans="1:11" x14ac:dyDescent="0.55000000000000004">
      <c r="A66" s="1" t="s">
        <v>45</v>
      </c>
      <c r="B66" s="1" t="s">
        <v>125</v>
      </c>
      <c r="C66" s="1"/>
      <c r="D66" s="1"/>
      <c r="E66" s="1"/>
      <c r="F66" s="1" t="s">
        <v>51</v>
      </c>
      <c r="G66" s="1">
        <v>56</v>
      </c>
      <c r="H66" s="1"/>
      <c r="I66" s="1"/>
      <c r="J66" s="1" t="s">
        <v>17</v>
      </c>
      <c r="K66" s="1" t="s">
        <v>66</v>
      </c>
    </row>
    <row r="67" spans="1:11" x14ac:dyDescent="0.55000000000000004">
      <c r="A67" s="1" t="s">
        <v>45</v>
      </c>
      <c r="B67" s="1" t="s">
        <v>125</v>
      </c>
      <c r="C67" s="1"/>
      <c r="D67" s="1"/>
      <c r="E67" s="1"/>
      <c r="F67" s="1" t="s">
        <v>55</v>
      </c>
      <c r="G67" s="1">
        <v>25</v>
      </c>
      <c r="H67" s="1"/>
      <c r="I67" s="1"/>
      <c r="J67" s="1" t="s">
        <v>17</v>
      </c>
      <c r="K67" s="1" t="s">
        <v>66</v>
      </c>
    </row>
    <row r="68" spans="1:11" x14ac:dyDescent="0.55000000000000004">
      <c r="A68" s="1" t="s">
        <v>45</v>
      </c>
      <c r="B68" s="1" t="s">
        <v>117</v>
      </c>
      <c r="C68" s="1"/>
      <c r="D68" s="1"/>
      <c r="E68" s="1"/>
      <c r="F68" s="1" t="s">
        <v>48</v>
      </c>
      <c r="G68" s="1">
        <v>72</v>
      </c>
      <c r="H68" s="1"/>
      <c r="I68" s="1"/>
      <c r="J68" s="1" t="s">
        <v>118</v>
      </c>
      <c r="K68" s="1" t="s">
        <v>66</v>
      </c>
    </row>
    <row r="69" spans="1:11" x14ac:dyDescent="0.55000000000000004">
      <c r="A69" s="1" t="s">
        <v>45</v>
      </c>
      <c r="B69" s="1" t="s">
        <v>125</v>
      </c>
      <c r="C69" s="1"/>
      <c r="D69" s="1"/>
      <c r="E69" s="1"/>
      <c r="F69" s="1" t="s">
        <v>56</v>
      </c>
      <c r="G69" s="1">
        <v>24</v>
      </c>
      <c r="H69" s="1"/>
      <c r="I69" s="1"/>
      <c r="J69" s="1" t="s">
        <v>17</v>
      </c>
      <c r="K69" s="1" t="s">
        <v>66</v>
      </c>
    </row>
    <row r="70" spans="1:11" x14ac:dyDescent="0.55000000000000004">
      <c r="A70" s="1" t="s">
        <v>37</v>
      </c>
      <c r="B70" s="1" t="s">
        <v>130</v>
      </c>
      <c r="C70" s="1"/>
      <c r="D70" s="1"/>
      <c r="E70" s="1" t="s">
        <v>139</v>
      </c>
      <c r="F70" s="1" t="s">
        <v>40</v>
      </c>
      <c r="G70" s="1">
        <v>260</v>
      </c>
      <c r="H70" s="1">
        <v>260</v>
      </c>
      <c r="I70" s="1">
        <v>0</v>
      </c>
      <c r="J70" s="17" t="s">
        <v>148</v>
      </c>
      <c r="K70" s="1" t="s">
        <v>66</v>
      </c>
    </row>
    <row r="71" spans="1:11" x14ac:dyDescent="0.55000000000000004">
      <c r="A71" s="1" t="s">
        <v>45</v>
      </c>
      <c r="B71" s="1" t="s">
        <v>142</v>
      </c>
      <c r="C71" s="1"/>
      <c r="D71" s="1"/>
      <c r="E71" s="1"/>
      <c r="F71" s="1" t="s">
        <v>58</v>
      </c>
      <c r="G71" s="1">
        <v>84</v>
      </c>
      <c r="H71" s="1"/>
      <c r="I71" s="1"/>
      <c r="J71" s="1"/>
      <c r="K71" s="1" t="s">
        <v>66</v>
      </c>
    </row>
    <row r="72" spans="1:11" x14ac:dyDescent="0.55000000000000004">
      <c r="A72" s="1" t="s">
        <v>19</v>
      </c>
      <c r="B72" s="1">
        <v>103469</v>
      </c>
      <c r="C72" s="1"/>
      <c r="D72" s="1"/>
      <c r="E72" s="1"/>
      <c r="F72" s="1" t="s">
        <v>180</v>
      </c>
      <c r="G72" s="1">
        <v>259</v>
      </c>
      <c r="H72" s="1"/>
      <c r="I72" s="1"/>
      <c r="J72" s="1"/>
      <c r="K72" s="1" t="s">
        <v>66</v>
      </c>
    </row>
    <row r="73" spans="1:11" x14ac:dyDescent="0.55000000000000004">
      <c r="A73" s="1" t="s">
        <v>37</v>
      </c>
      <c r="B73" s="1" t="s">
        <v>130</v>
      </c>
      <c r="C73" s="1"/>
      <c r="D73" s="1"/>
      <c r="E73" s="1"/>
      <c r="F73" s="1" t="s">
        <v>131</v>
      </c>
      <c r="G73" s="1">
        <v>200</v>
      </c>
      <c r="H73" s="1">
        <v>200</v>
      </c>
      <c r="I73" s="1">
        <v>0</v>
      </c>
      <c r="J73" s="17" t="s">
        <v>148</v>
      </c>
      <c r="K73" s="1" t="s">
        <v>66</v>
      </c>
    </row>
    <row r="74" spans="1:11" x14ac:dyDescent="0.55000000000000004">
      <c r="A74" s="1" t="s">
        <v>81</v>
      </c>
      <c r="B74" s="1">
        <v>2024159</v>
      </c>
      <c r="C74" s="1" t="s">
        <v>204</v>
      </c>
      <c r="D74" s="1"/>
      <c r="E74" s="1"/>
      <c r="F74" s="1" t="s">
        <v>163</v>
      </c>
      <c r="G74" s="1">
        <v>75</v>
      </c>
      <c r="H74" s="1">
        <v>75</v>
      </c>
      <c r="I74" s="1">
        <v>0</v>
      </c>
      <c r="J74" s="1" t="s">
        <v>164</v>
      </c>
      <c r="K74" s="1" t="s">
        <v>66</v>
      </c>
    </row>
    <row r="75" spans="1:11" x14ac:dyDescent="0.55000000000000004">
      <c r="A75" s="1" t="s">
        <v>37</v>
      </c>
      <c r="B75" s="1" t="s">
        <v>130</v>
      </c>
      <c r="C75" s="1"/>
      <c r="D75" s="1"/>
      <c r="E75" s="1"/>
      <c r="F75" s="1" t="s">
        <v>41</v>
      </c>
      <c r="G75" s="1">
        <v>200</v>
      </c>
      <c r="H75" s="1">
        <v>200</v>
      </c>
      <c r="I75" s="1">
        <v>0</v>
      </c>
      <c r="J75" s="17" t="s">
        <v>148</v>
      </c>
      <c r="K75" s="1" t="s">
        <v>66</v>
      </c>
    </row>
    <row r="76" spans="1:11" x14ac:dyDescent="0.55000000000000004">
      <c r="A76" s="1" t="s">
        <v>37</v>
      </c>
      <c r="B76" s="1" t="s">
        <v>130</v>
      </c>
      <c r="C76" s="1"/>
      <c r="D76" s="1"/>
      <c r="E76" s="1" t="s">
        <v>138</v>
      </c>
      <c r="F76" s="1" t="s">
        <v>39</v>
      </c>
      <c r="G76" s="1">
        <v>260</v>
      </c>
      <c r="H76" s="1">
        <v>260</v>
      </c>
      <c r="I76" s="1">
        <v>0</v>
      </c>
      <c r="J76" s="17" t="s">
        <v>148</v>
      </c>
      <c r="K76" s="1" t="s">
        <v>66</v>
      </c>
    </row>
    <row r="77" spans="1:11" s="18" customFormat="1" x14ac:dyDescent="0.55000000000000004">
      <c r="A77" s="3" t="s">
        <v>81</v>
      </c>
      <c r="B77" s="1">
        <v>2024162</v>
      </c>
      <c r="C77" s="1" t="s">
        <v>362</v>
      </c>
      <c r="D77" s="1"/>
      <c r="E77" s="1"/>
      <c r="F77" s="1" t="s">
        <v>358</v>
      </c>
      <c r="G77" s="1">
        <v>10</v>
      </c>
      <c r="H77" s="1"/>
      <c r="I77" s="1"/>
      <c r="J77" s="3" t="s">
        <v>357</v>
      </c>
      <c r="K77" s="3" t="s">
        <v>66</v>
      </c>
    </row>
    <row r="78" spans="1:11" x14ac:dyDescent="0.55000000000000004">
      <c r="A78" s="1" t="s">
        <v>119</v>
      </c>
      <c r="B78" s="1">
        <v>13999</v>
      </c>
      <c r="C78" s="1"/>
      <c r="D78" s="1"/>
      <c r="E78" s="1"/>
      <c r="F78" s="1" t="s">
        <v>120</v>
      </c>
      <c r="G78" s="1">
        <v>50</v>
      </c>
      <c r="H78" s="1"/>
      <c r="I78" s="1"/>
      <c r="J78" s="1" t="s">
        <v>121</v>
      </c>
      <c r="K78" s="1" t="s">
        <v>66</v>
      </c>
    </row>
    <row r="79" spans="1:11" x14ac:dyDescent="0.55000000000000004">
      <c r="A79" s="3" t="s">
        <v>81</v>
      </c>
      <c r="B79" s="1">
        <v>2024164</v>
      </c>
      <c r="C79" s="1" t="s">
        <v>361</v>
      </c>
      <c r="D79" s="1"/>
      <c r="E79" s="1"/>
      <c r="F79" s="1" t="s">
        <v>356</v>
      </c>
      <c r="G79" s="1">
        <v>36</v>
      </c>
      <c r="H79" s="1"/>
      <c r="I79" s="1"/>
      <c r="J79" s="3" t="s">
        <v>357</v>
      </c>
      <c r="K79" s="3" t="s">
        <v>66</v>
      </c>
    </row>
    <row r="80" spans="1:11" x14ac:dyDescent="0.55000000000000004">
      <c r="A80" s="1" t="s">
        <v>81</v>
      </c>
      <c r="B80" s="1">
        <v>2024167</v>
      </c>
      <c r="C80" s="1" t="s">
        <v>208</v>
      </c>
      <c r="D80" s="1"/>
      <c r="E80" s="1"/>
      <c r="F80" s="1" t="s">
        <v>181</v>
      </c>
      <c r="G80" s="1">
        <v>50</v>
      </c>
      <c r="H80" s="1"/>
      <c r="I80" s="1"/>
      <c r="J80" s="1" t="s">
        <v>182</v>
      </c>
      <c r="K80" s="1" t="s">
        <v>66</v>
      </c>
    </row>
    <row r="81" spans="1:11" x14ac:dyDescent="0.55000000000000004">
      <c r="A81" s="1" t="s">
        <v>45</v>
      </c>
      <c r="B81" s="1" t="s">
        <v>142</v>
      </c>
      <c r="C81" s="1"/>
      <c r="D81" s="1"/>
      <c r="E81" s="1"/>
      <c r="F81" s="1" t="s">
        <v>55</v>
      </c>
      <c r="G81" s="1">
        <v>25</v>
      </c>
      <c r="H81" s="1"/>
      <c r="I81" s="1"/>
      <c r="J81" s="1"/>
      <c r="K81" s="1" t="s">
        <v>66</v>
      </c>
    </row>
    <row r="82" spans="1:11" x14ac:dyDescent="0.55000000000000004">
      <c r="A82" s="1" t="s">
        <v>45</v>
      </c>
      <c r="B82" s="1" t="s">
        <v>142</v>
      </c>
      <c r="C82" s="1"/>
      <c r="D82" s="1"/>
      <c r="E82" s="1"/>
      <c r="F82" s="1" t="s">
        <v>51</v>
      </c>
      <c r="G82" s="1">
        <v>56</v>
      </c>
      <c r="H82" s="1"/>
      <c r="I82" s="1"/>
      <c r="J82" s="1"/>
      <c r="K82" s="1" t="s">
        <v>66</v>
      </c>
    </row>
    <row r="83" spans="1:11" x14ac:dyDescent="0.55000000000000004">
      <c r="A83" s="1" t="s">
        <v>45</v>
      </c>
      <c r="B83" s="1" t="s">
        <v>142</v>
      </c>
      <c r="C83" s="1" t="s">
        <v>227</v>
      </c>
      <c r="D83" s="1"/>
      <c r="E83" s="1"/>
      <c r="F83" s="1" t="s">
        <v>187</v>
      </c>
      <c r="G83" s="1">
        <v>25</v>
      </c>
      <c r="H83" s="1"/>
      <c r="I83" s="1"/>
      <c r="J83" s="1"/>
      <c r="K83" s="1" t="s">
        <v>66</v>
      </c>
    </row>
    <row r="84" spans="1:11" x14ac:dyDescent="0.55000000000000004">
      <c r="A84" s="1" t="s">
        <v>45</v>
      </c>
      <c r="B84" s="1" t="s">
        <v>142</v>
      </c>
      <c r="C84" s="1"/>
      <c r="D84" s="1"/>
      <c r="E84" s="1"/>
      <c r="F84" s="1" t="s">
        <v>143</v>
      </c>
      <c r="G84" s="1">
        <v>25</v>
      </c>
      <c r="H84" s="1"/>
      <c r="I84" s="1"/>
      <c r="J84" s="1" t="s">
        <v>144</v>
      </c>
      <c r="K84" s="1" t="s">
        <v>66</v>
      </c>
    </row>
    <row r="85" spans="1:11" x14ac:dyDescent="0.55000000000000004">
      <c r="A85" s="1" t="s">
        <v>81</v>
      </c>
      <c r="B85" s="1">
        <v>2024173</v>
      </c>
      <c r="C85" s="1" t="s">
        <v>207</v>
      </c>
      <c r="D85" s="1"/>
      <c r="E85" s="1"/>
      <c r="F85" s="1" t="s">
        <v>190</v>
      </c>
      <c r="G85" s="1">
        <v>60</v>
      </c>
      <c r="H85" s="1"/>
      <c r="I85" s="1"/>
      <c r="J85" s="1" t="s">
        <v>191</v>
      </c>
      <c r="K85" s="1" t="s">
        <v>66</v>
      </c>
    </row>
    <row r="86" spans="1:11" x14ac:dyDescent="0.55000000000000004">
      <c r="A86" s="1" t="s">
        <v>81</v>
      </c>
      <c r="B86" s="1">
        <v>2024181</v>
      </c>
      <c r="C86" s="1" t="s">
        <v>206</v>
      </c>
      <c r="D86" s="1"/>
      <c r="E86" s="1"/>
      <c r="F86" s="1" t="s">
        <v>198</v>
      </c>
      <c r="G86" s="1">
        <v>5</v>
      </c>
      <c r="H86" s="1"/>
      <c r="I86" s="1"/>
      <c r="J86" s="1" t="s">
        <v>199</v>
      </c>
      <c r="K86" s="1" t="s">
        <v>66</v>
      </c>
    </row>
    <row r="87" spans="1:11" x14ac:dyDescent="0.55000000000000004">
      <c r="A87" s="1" t="s">
        <v>81</v>
      </c>
      <c r="B87" s="1">
        <v>2024183</v>
      </c>
      <c r="C87" s="1" t="s">
        <v>235</v>
      </c>
      <c r="D87" s="1"/>
      <c r="E87" s="1"/>
      <c r="F87" s="1" t="s">
        <v>210</v>
      </c>
      <c r="G87" s="1">
        <v>15</v>
      </c>
      <c r="H87" s="1"/>
      <c r="I87" s="1"/>
      <c r="J87" s="1" t="s">
        <v>211</v>
      </c>
      <c r="K87" s="1" t="s">
        <v>66</v>
      </c>
    </row>
    <row r="88" spans="1:11" x14ac:dyDescent="0.55000000000000004">
      <c r="A88" s="1" t="s">
        <v>173</v>
      </c>
      <c r="B88" s="1" t="s">
        <v>177</v>
      </c>
      <c r="C88" s="1"/>
      <c r="D88" s="1"/>
      <c r="E88" s="1"/>
      <c r="F88" s="1" t="s">
        <v>178</v>
      </c>
      <c r="G88" s="1">
        <v>30</v>
      </c>
      <c r="H88" s="1"/>
      <c r="I88" s="1"/>
      <c r="J88" s="1" t="s">
        <v>176</v>
      </c>
      <c r="K88" s="1" t="s">
        <v>66</v>
      </c>
    </row>
    <row r="89" spans="1:11" s="18" customFormat="1" x14ac:dyDescent="0.55000000000000004">
      <c r="A89" s="1" t="s">
        <v>29</v>
      </c>
      <c r="B89" s="1" t="s">
        <v>110</v>
      </c>
      <c r="C89" s="1"/>
      <c r="D89" s="1"/>
      <c r="E89" s="1"/>
      <c r="F89" s="1" t="s">
        <v>112</v>
      </c>
      <c r="G89" s="1">
        <v>435</v>
      </c>
      <c r="H89" s="1">
        <f>240+62+133</f>
        <v>435</v>
      </c>
      <c r="I89" s="1">
        <f>G89-H89</f>
        <v>0</v>
      </c>
      <c r="J89" s="1" t="s">
        <v>118</v>
      </c>
      <c r="K89" s="1" t="s">
        <v>66</v>
      </c>
    </row>
    <row r="90" spans="1:11" x14ac:dyDescent="0.55000000000000004">
      <c r="A90" s="1" t="s">
        <v>45</v>
      </c>
      <c r="B90" s="1" t="s">
        <v>222</v>
      </c>
      <c r="C90" s="1"/>
      <c r="D90" s="1"/>
      <c r="E90" s="1"/>
      <c r="F90" s="1" t="s">
        <v>143</v>
      </c>
      <c r="G90" s="1">
        <v>50</v>
      </c>
      <c r="H90" s="1"/>
      <c r="I90" s="1"/>
      <c r="J90" s="1" t="s">
        <v>221</v>
      </c>
      <c r="K90" s="1" t="s">
        <v>66</v>
      </c>
    </row>
    <row r="91" spans="1:11" x14ac:dyDescent="0.55000000000000004">
      <c r="A91" s="1" t="s">
        <v>45</v>
      </c>
      <c r="B91" s="1" t="s">
        <v>222</v>
      </c>
      <c r="C91" s="1" t="s">
        <v>225</v>
      </c>
      <c r="D91" s="1"/>
      <c r="E91" s="1"/>
      <c r="F91" s="1" t="s">
        <v>51</v>
      </c>
      <c r="G91" s="1">
        <v>56</v>
      </c>
      <c r="H91" s="1"/>
      <c r="I91" s="1"/>
      <c r="J91" s="1" t="s">
        <v>221</v>
      </c>
      <c r="K91" s="1" t="s">
        <v>66</v>
      </c>
    </row>
    <row r="92" spans="1:11" x14ac:dyDescent="0.55000000000000004">
      <c r="A92" s="1" t="s">
        <v>45</v>
      </c>
      <c r="B92" s="1" t="s">
        <v>222</v>
      </c>
      <c r="C92" s="1" t="s">
        <v>226</v>
      </c>
      <c r="D92" s="1"/>
      <c r="E92" s="1"/>
      <c r="F92" s="1" t="s">
        <v>48</v>
      </c>
      <c r="G92" s="1">
        <v>108</v>
      </c>
      <c r="H92" s="1"/>
      <c r="I92" s="1"/>
      <c r="J92" s="1" t="s">
        <v>221</v>
      </c>
      <c r="K92" s="1" t="s">
        <v>66</v>
      </c>
    </row>
    <row r="93" spans="1:11" x14ac:dyDescent="0.55000000000000004">
      <c r="A93" s="1" t="s">
        <v>173</v>
      </c>
      <c r="B93" s="1" t="s">
        <v>174</v>
      </c>
      <c r="C93" s="1"/>
      <c r="D93" s="1"/>
      <c r="E93" s="1"/>
      <c r="F93" s="1" t="s">
        <v>175</v>
      </c>
      <c r="G93" s="1">
        <v>8</v>
      </c>
      <c r="H93" s="1"/>
      <c r="I93" s="1"/>
      <c r="J93" s="1" t="s">
        <v>176</v>
      </c>
      <c r="K93" s="1" t="s">
        <v>66</v>
      </c>
    </row>
    <row r="94" spans="1:11" x14ac:dyDescent="0.55000000000000004">
      <c r="A94" s="1" t="s">
        <v>173</v>
      </c>
      <c r="B94" s="1" t="s">
        <v>212</v>
      </c>
      <c r="C94" s="1"/>
      <c r="D94" s="1"/>
      <c r="E94" s="1"/>
      <c r="F94" s="1" t="s">
        <v>213</v>
      </c>
      <c r="G94" s="1">
        <v>30</v>
      </c>
      <c r="H94" s="1"/>
      <c r="I94" s="1"/>
      <c r="J94" s="1" t="s">
        <v>147</v>
      </c>
      <c r="K94" s="1" t="s">
        <v>66</v>
      </c>
    </row>
    <row r="95" spans="1:11" x14ac:dyDescent="0.55000000000000004">
      <c r="A95" s="1" t="s">
        <v>22</v>
      </c>
      <c r="B95" s="1">
        <v>13371</v>
      </c>
      <c r="C95" s="1"/>
      <c r="D95" s="1"/>
      <c r="E95" s="1"/>
      <c r="F95" s="1" t="s">
        <v>219</v>
      </c>
      <c r="G95" s="1">
        <v>100</v>
      </c>
      <c r="H95" s="1"/>
      <c r="I95" s="1"/>
      <c r="J95" s="1" t="s">
        <v>220</v>
      </c>
      <c r="K95" s="1" t="s">
        <v>66</v>
      </c>
    </row>
    <row r="96" spans="1:11" x14ac:dyDescent="0.55000000000000004">
      <c r="A96" s="1" t="s">
        <v>22</v>
      </c>
      <c r="B96" s="1">
        <v>13211</v>
      </c>
      <c r="C96" s="1"/>
      <c r="D96" s="1"/>
      <c r="E96" s="1"/>
      <c r="F96" s="1" t="s">
        <v>23</v>
      </c>
      <c r="G96" s="1">
        <v>501</v>
      </c>
      <c r="H96" s="1">
        <f>100+100+150+50+101</f>
        <v>501</v>
      </c>
      <c r="I96" s="1">
        <f>G96-H96</f>
        <v>0</v>
      </c>
      <c r="J96" s="1" t="s">
        <v>35</v>
      </c>
      <c r="K96" s="1" t="s">
        <v>66</v>
      </c>
    </row>
    <row r="97" spans="1:11" x14ac:dyDescent="0.55000000000000004">
      <c r="A97" s="1" t="s">
        <v>22</v>
      </c>
      <c r="B97" s="1">
        <v>13211</v>
      </c>
      <c r="C97" s="1"/>
      <c r="D97" s="1"/>
      <c r="E97" s="1"/>
      <c r="F97" s="1" t="s">
        <v>24</v>
      </c>
      <c r="G97" s="1">
        <v>501</v>
      </c>
      <c r="H97" s="1">
        <f>100+100+150+50+101</f>
        <v>501</v>
      </c>
      <c r="I97" s="1">
        <f>G97-H97</f>
        <v>0</v>
      </c>
      <c r="J97" s="1" t="s">
        <v>35</v>
      </c>
      <c r="K97" s="1" t="s">
        <v>66</v>
      </c>
    </row>
    <row r="98" spans="1:11" x14ac:dyDescent="0.55000000000000004">
      <c r="A98" s="1" t="s">
        <v>26</v>
      </c>
      <c r="B98" s="1">
        <v>66518</v>
      </c>
      <c r="C98" s="1"/>
      <c r="D98" s="1">
        <v>1</v>
      </c>
      <c r="E98" s="1" t="s">
        <v>161</v>
      </c>
      <c r="F98" s="1" t="s">
        <v>95</v>
      </c>
      <c r="G98" s="1">
        <v>64</v>
      </c>
      <c r="H98" s="1">
        <v>64</v>
      </c>
      <c r="I98" s="1">
        <v>0</v>
      </c>
      <c r="J98" s="1" t="s">
        <v>149</v>
      </c>
      <c r="K98" s="1" t="s">
        <v>66</v>
      </c>
    </row>
    <row r="99" spans="1:11" x14ac:dyDescent="0.55000000000000004">
      <c r="A99" s="1" t="s">
        <v>26</v>
      </c>
      <c r="B99" s="1">
        <v>66518</v>
      </c>
      <c r="C99" s="1"/>
      <c r="D99" s="1">
        <v>2</v>
      </c>
      <c r="E99" s="1" t="s">
        <v>162</v>
      </c>
      <c r="F99" s="1" t="s">
        <v>95</v>
      </c>
      <c r="G99" s="1">
        <v>64</v>
      </c>
      <c r="H99" s="1">
        <v>64</v>
      </c>
      <c r="I99" s="1">
        <v>0</v>
      </c>
      <c r="J99" s="1" t="s">
        <v>118</v>
      </c>
      <c r="K99" s="1" t="s">
        <v>66</v>
      </c>
    </row>
    <row r="100" spans="1:11" x14ac:dyDescent="0.55000000000000004">
      <c r="A100" s="1" t="s">
        <v>19</v>
      </c>
      <c r="B100" s="1">
        <v>101639</v>
      </c>
      <c r="C100" s="1"/>
      <c r="D100" s="1"/>
      <c r="E100" s="1"/>
      <c r="F100" s="1" t="s">
        <v>18</v>
      </c>
      <c r="G100" s="1">
        <v>105</v>
      </c>
      <c r="H100" s="1">
        <f>81+24</f>
        <v>105</v>
      </c>
      <c r="I100" s="1">
        <v>0</v>
      </c>
      <c r="J100" s="1" t="s">
        <v>101</v>
      </c>
      <c r="K100" s="1" t="s">
        <v>66</v>
      </c>
    </row>
    <row r="101" spans="1:11" x14ac:dyDescent="0.55000000000000004">
      <c r="A101" s="1" t="s">
        <v>19</v>
      </c>
      <c r="B101" s="1">
        <v>101639</v>
      </c>
      <c r="C101" s="1"/>
      <c r="D101" s="1"/>
      <c r="E101" s="1"/>
      <c r="F101" s="1" t="s">
        <v>18</v>
      </c>
      <c r="G101" s="1">
        <v>105</v>
      </c>
      <c r="H101" s="1">
        <v>105</v>
      </c>
      <c r="I101" s="1">
        <v>0</v>
      </c>
      <c r="J101" s="1" t="s">
        <v>102</v>
      </c>
      <c r="K101" s="1" t="s">
        <v>66</v>
      </c>
    </row>
    <row r="102" spans="1:11" x14ac:dyDescent="0.55000000000000004">
      <c r="A102" s="1" t="s">
        <v>13</v>
      </c>
      <c r="B102" s="1" t="s">
        <v>16</v>
      </c>
      <c r="C102" s="1"/>
      <c r="D102" s="1">
        <v>1</v>
      </c>
      <c r="E102" s="1" t="s">
        <v>114</v>
      </c>
      <c r="F102" s="1" t="s">
        <v>14</v>
      </c>
      <c r="G102" s="1">
        <v>200</v>
      </c>
      <c r="H102" s="1">
        <v>200</v>
      </c>
      <c r="I102" s="1">
        <v>200</v>
      </c>
      <c r="J102" s="1" t="s">
        <v>147</v>
      </c>
      <c r="K102" s="1" t="s">
        <v>66</v>
      </c>
    </row>
    <row r="103" spans="1:11" x14ac:dyDescent="0.55000000000000004">
      <c r="A103" s="1" t="s">
        <v>81</v>
      </c>
      <c r="B103" s="1">
        <v>2024184</v>
      </c>
      <c r="C103" s="1" t="s">
        <v>235</v>
      </c>
      <c r="D103" s="1"/>
      <c r="E103" s="1"/>
      <c r="F103" s="1" t="s">
        <v>210</v>
      </c>
      <c r="G103" s="1">
        <v>10</v>
      </c>
      <c r="H103" s="1"/>
      <c r="I103" s="1"/>
      <c r="J103" s="1" t="s">
        <v>211</v>
      </c>
      <c r="K103" s="1" t="s">
        <v>66</v>
      </c>
    </row>
    <row r="104" spans="1:11" x14ac:dyDescent="0.55000000000000004">
      <c r="A104" s="1" t="s">
        <v>81</v>
      </c>
      <c r="B104" s="1">
        <v>2024220</v>
      </c>
      <c r="C104" s="1" t="s">
        <v>275</v>
      </c>
      <c r="D104" s="1"/>
      <c r="E104" s="1" t="s">
        <v>300</v>
      </c>
      <c r="F104" s="1" t="s">
        <v>261</v>
      </c>
      <c r="G104" s="1">
        <v>15</v>
      </c>
      <c r="H104" s="1"/>
      <c r="I104" s="1"/>
      <c r="J104" s="1" t="s">
        <v>262</v>
      </c>
      <c r="K104" s="1" t="s">
        <v>66</v>
      </c>
    </row>
    <row r="105" spans="1:11" x14ac:dyDescent="0.55000000000000004">
      <c r="A105" s="1" t="s">
        <v>81</v>
      </c>
      <c r="B105" s="1">
        <v>2024222</v>
      </c>
      <c r="C105" s="1" t="s">
        <v>277</v>
      </c>
      <c r="D105" s="1"/>
      <c r="E105" s="1" t="s">
        <v>304</v>
      </c>
      <c r="F105" s="1" t="s">
        <v>264</v>
      </c>
      <c r="G105" s="1">
        <v>10</v>
      </c>
      <c r="H105" s="1"/>
      <c r="I105" s="1"/>
      <c r="J105" s="1" t="s">
        <v>262</v>
      </c>
      <c r="K105" s="1" t="s">
        <v>66</v>
      </c>
    </row>
    <row r="106" spans="1:11" x14ac:dyDescent="0.55000000000000004">
      <c r="A106" s="1" t="s">
        <v>29</v>
      </c>
      <c r="B106" s="1" t="s">
        <v>111</v>
      </c>
      <c r="C106" s="1"/>
      <c r="D106" s="1"/>
      <c r="E106" s="1"/>
      <c r="F106" s="1" t="s">
        <v>113</v>
      </c>
      <c r="G106" s="1">
        <v>980</v>
      </c>
      <c r="H106" s="1">
        <f>240+190+550</f>
        <v>980</v>
      </c>
      <c r="I106" s="1">
        <f>G106-H106</f>
        <v>0</v>
      </c>
      <c r="J106" s="1" t="s">
        <v>118</v>
      </c>
      <c r="K106" s="1" t="s">
        <v>66</v>
      </c>
    </row>
    <row r="107" spans="1:11" ht="72" x14ac:dyDescent="0.55000000000000004">
      <c r="A107" s="1" t="s">
        <v>26</v>
      </c>
      <c r="B107" s="1">
        <v>65917</v>
      </c>
      <c r="C107" s="1"/>
      <c r="D107" s="1">
        <v>1</v>
      </c>
      <c r="E107" s="3" t="s">
        <v>169</v>
      </c>
      <c r="F107" s="1" t="s">
        <v>28</v>
      </c>
      <c r="G107" s="1">
        <v>500</v>
      </c>
      <c r="H107" s="1">
        <f>1+119+80+90+79+36+94</f>
        <v>499</v>
      </c>
      <c r="I107" s="1">
        <f>G107-H107</f>
        <v>1</v>
      </c>
      <c r="J107" s="1"/>
      <c r="K107" s="1" t="s">
        <v>66</v>
      </c>
    </row>
    <row r="108" spans="1:11" x14ac:dyDescent="0.55000000000000004">
      <c r="A108" s="1" t="s">
        <v>81</v>
      </c>
      <c r="B108" s="1">
        <v>2024228</v>
      </c>
      <c r="C108" s="1" t="s">
        <v>276</v>
      </c>
      <c r="D108" s="1"/>
      <c r="E108" s="1" t="s">
        <v>305</v>
      </c>
      <c r="F108" s="1" t="s">
        <v>190</v>
      </c>
      <c r="G108" s="1">
        <v>100</v>
      </c>
      <c r="H108" s="1"/>
      <c r="I108" s="1"/>
      <c r="J108" s="1" t="s">
        <v>263</v>
      </c>
      <c r="K108" s="1" t="s">
        <v>66</v>
      </c>
    </row>
    <row r="109" spans="1:11" x14ac:dyDescent="0.55000000000000004">
      <c r="A109" s="1" t="s">
        <v>81</v>
      </c>
      <c r="B109" s="1">
        <v>2024229</v>
      </c>
      <c r="C109" s="1" t="s">
        <v>279</v>
      </c>
      <c r="D109" s="1"/>
      <c r="E109" s="1"/>
      <c r="F109" s="1" t="s">
        <v>270</v>
      </c>
      <c r="G109" s="1">
        <v>5</v>
      </c>
      <c r="H109" s="1"/>
      <c r="I109" s="1"/>
      <c r="J109" s="1" t="s">
        <v>272</v>
      </c>
      <c r="K109" s="1" t="s">
        <v>66</v>
      </c>
    </row>
    <row r="110" spans="1:11" x14ac:dyDescent="0.55000000000000004">
      <c r="A110" s="1" t="s">
        <v>81</v>
      </c>
      <c r="B110" s="1">
        <v>2024229</v>
      </c>
      <c r="C110" s="1" t="s">
        <v>280</v>
      </c>
      <c r="D110" s="1"/>
      <c r="E110" s="1"/>
      <c r="F110" s="1" t="s">
        <v>269</v>
      </c>
      <c r="G110" s="1">
        <v>5</v>
      </c>
      <c r="H110" s="1"/>
      <c r="I110" s="1"/>
      <c r="J110" s="1" t="s">
        <v>272</v>
      </c>
      <c r="K110" s="1" t="s">
        <v>66</v>
      </c>
    </row>
    <row r="111" spans="1:11" x14ac:dyDescent="0.55000000000000004">
      <c r="A111" s="1" t="s">
        <v>81</v>
      </c>
      <c r="B111" s="1">
        <v>2024229</v>
      </c>
      <c r="C111" s="1" t="s">
        <v>278</v>
      </c>
      <c r="D111" s="1"/>
      <c r="E111" s="1"/>
      <c r="F111" s="1" t="s">
        <v>271</v>
      </c>
      <c r="G111" s="1">
        <v>5</v>
      </c>
      <c r="H111" s="1"/>
      <c r="I111" s="1"/>
      <c r="J111" s="1" t="s">
        <v>272</v>
      </c>
      <c r="K111" s="1" t="s">
        <v>66</v>
      </c>
    </row>
    <row r="112" spans="1:11" x14ac:dyDescent="0.55000000000000004">
      <c r="A112" s="3" t="s">
        <v>22</v>
      </c>
      <c r="B112" s="3">
        <v>13418</v>
      </c>
      <c r="C112" s="3" t="s">
        <v>282</v>
      </c>
      <c r="D112" s="3"/>
      <c r="E112" s="3" t="s">
        <v>306</v>
      </c>
      <c r="F112" s="3" t="s">
        <v>265</v>
      </c>
      <c r="G112" s="3">
        <v>30</v>
      </c>
      <c r="H112" s="3"/>
      <c r="I112" s="3"/>
      <c r="J112" s="3" t="s">
        <v>266</v>
      </c>
      <c r="K112" s="3" t="s">
        <v>66</v>
      </c>
    </row>
    <row r="113" spans="1:11" x14ac:dyDescent="0.55000000000000004">
      <c r="A113" s="3" t="s">
        <v>22</v>
      </c>
      <c r="B113" s="3">
        <v>13441</v>
      </c>
      <c r="C113" s="3" t="s">
        <v>341</v>
      </c>
      <c r="D113" s="3"/>
      <c r="E113" s="3"/>
      <c r="F113" s="3" t="s">
        <v>342</v>
      </c>
      <c r="G113" s="3">
        <v>40</v>
      </c>
      <c r="H113" s="3"/>
      <c r="I113" s="3"/>
      <c r="J113" s="3"/>
      <c r="K113" s="3" t="s">
        <v>66</v>
      </c>
    </row>
    <row r="114" spans="1:11" x14ac:dyDescent="0.55000000000000004">
      <c r="A114" s="1" t="s">
        <v>22</v>
      </c>
      <c r="B114" s="1">
        <v>13441</v>
      </c>
      <c r="C114" s="1" t="s">
        <v>341</v>
      </c>
      <c r="D114" s="1"/>
      <c r="E114" s="1"/>
      <c r="F114" s="1" t="s">
        <v>319</v>
      </c>
      <c r="G114" s="1">
        <v>86</v>
      </c>
      <c r="H114" s="1"/>
      <c r="I114" s="1"/>
      <c r="J114" s="1"/>
      <c r="K114" s="3" t="s">
        <v>66</v>
      </c>
    </row>
    <row r="115" spans="1:11" x14ac:dyDescent="0.55000000000000004">
      <c r="A115" s="3" t="s">
        <v>22</v>
      </c>
      <c r="B115" s="3">
        <v>13441</v>
      </c>
      <c r="C115" s="3" t="s">
        <v>341</v>
      </c>
      <c r="D115" s="3"/>
      <c r="E115" s="3"/>
      <c r="F115" s="3" t="s">
        <v>93</v>
      </c>
      <c r="G115" s="3">
        <v>180</v>
      </c>
      <c r="H115" s="3"/>
      <c r="I115" s="3"/>
      <c r="J115" s="3"/>
      <c r="K115" s="3" t="s">
        <v>66</v>
      </c>
    </row>
    <row r="116" spans="1:11" x14ac:dyDescent="0.55000000000000004">
      <c r="A116" s="1" t="s">
        <v>22</v>
      </c>
      <c r="B116" s="1">
        <v>13441</v>
      </c>
      <c r="C116" s="1" t="s">
        <v>341</v>
      </c>
      <c r="D116" s="1"/>
      <c r="E116" s="1"/>
      <c r="F116" s="1" t="s">
        <v>129</v>
      </c>
      <c r="G116" s="1">
        <v>100</v>
      </c>
      <c r="H116" s="1"/>
      <c r="I116" s="1"/>
      <c r="J116" s="1"/>
      <c r="K116" s="3" t="s">
        <v>66</v>
      </c>
    </row>
    <row r="117" spans="1:11" x14ac:dyDescent="0.55000000000000004">
      <c r="A117" s="3" t="s">
        <v>22</v>
      </c>
      <c r="B117" s="3">
        <v>13441</v>
      </c>
      <c r="C117" s="3" t="s">
        <v>341</v>
      </c>
      <c r="D117" s="3"/>
      <c r="E117" s="3"/>
      <c r="F117" s="3" t="s">
        <v>320</v>
      </c>
      <c r="G117" s="3">
        <v>40</v>
      </c>
      <c r="H117" s="3"/>
      <c r="I117" s="3"/>
      <c r="J117" s="3"/>
      <c r="K117" s="3" t="s">
        <v>66</v>
      </c>
    </row>
    <row r="118" spans="1:11" x14ac:dyDescent="0.55000000000000004">
      <c r="A118" s="1" t="s">
        <v>81</v>
      </c>
      <c r="B118" s="1">
        <v>2024234</v>
      </c>
      <c r="C118" s="1" t="s">
        <v>283</v>
      </c>
      <c r="D118" s="1"/>
      <c r="E118" s="1" t="s">
        <v>316</v>
      </c>
      <c r="F118" s="1" t="s">
        <v>273</v>
      </c>
      <c r="G118" s="1">
        <v>24</v>
      </c>
      <c r="H118" s="1"/>
      <c r="I118" s="1"/>
      <c r="J118" s="1" t="s">
        <v>274</v>
      </c>
      <c r="K118" s="1" t="s">
        <v>66</v>
      </c>
    </row>
    <row r="119" spans="1:11" x14ac:dyDescent="0.55000000000000004">
      <c r="A119" s="3" t="s">
        <v>81</v>
      </c>
      <c r="B119" s="3">
        <v>2024245</v>
      </c>
      <c r="C119" s="3" t="s">
        <v>363</v>
      </c>
      <c r="D119" s="3"/>
      <c r="E119" s="3"/>
      <c r="F119" s="3" t="s">
        <v>343</v>
      </c>
      <c r="G119" s="3">
        <v>10</v>
      </c>
      <c r="H119" s="3"/>
      <c r="I119" s="3"/>
      <c r="J119" s="3" t="s">
        <v>344</v>
      </c>
      <c r="K119" s="3" t="s">
        <v>66</v>
      </c>
    </row>
    <row r="120" spans="1:11" x14ac:dyDescent="0.55000000000000004">
      <c r="A120" s="3" t="s">
        <v>81</v>
      </c>
      <c r="B120" s="3">
        <v>2024255</v>
      </c>
      <c r="C120" s="3" t="s">
        <v>359</v>
      </c>
      <c r="D120" s="3"/>
      <c r="E120" s="3"/>
      <c r="F120" s="3" t="s">
        <v>353</v>
      </c>
      <c r="G120" s="3">
        <v>50</v>
      </c>
      <c r="H120" s="3"/>
      <c r="I120" s="3"/>
      <c r="J120" s="3" t="s">
        <v>354</v>
      </c>
      <c r="K120" s="3" t="s">
        <v>66</v>
      </c>
    </row>
    <row r="121" spans="1:11" ht="28.8" x14ac:dyDescent="0.55000000000000004">
      <c r="A121" s="3" t="s">
        <v>81</v>
      </c>
      <c r="B121" s="3">
        <v>2024258</v>
      </c>
      <c r="C121" s="3" t="s">
        <v>360</v>
      </c>
      <c r="D121" s="3"/>
      <c r="E121" s="3"/>
      <c r="F121" s="3" t="s">
        <v>355</v>
      </c>
      <c r="G121" s="3">
        <v>50</v>
      </c>
      <c r="H121" s="3"/>
      <c r="I121" s="3"/>
      <c r="J121" s="3" t="s">
        <v>354</v>
      </c>
      <c r="K121" s="3" t="s">
        <v>66</v>
      </c>
    </row>
    <row r="122" spans="1:11" x14ac:dyDescent="0.55000000000000004">
      <c r="A122" s="1" t="s">
        <v>81</v>
      </c>
      <c r="B122" s="1">
        <v>2024279</v>
      </c>
      <c r="C122" s="1" t="s">
        <v>386</v>
      </c>
      <c r="D122" s="1"/>
      <c r="E122" s="1" t="s">
        <v>387</v>
      </c>
      <c r="F122" s="1" t="s">
        <v>96</v>
      </c>
      <c r="G122" s="1">
        <v>50</v>
      </c>
      <c r="H122" s="1"/>
      <c r="I122" s="1"/>
      <c r="J122" s="1"/>
      <c r="K122" s="3" t="s">
        <v>66</v>
      </c>
    </row>
    <row r="123" spans="1:11" x14ac:dyDescent="0.55000000000000004">
      <c r="A123" s="3" t="s">
        <v>173</v>
      </c>
      <c r="B123" s="3" t="s">
        <v>349</v>
      </c>
      <c r="C123" s="3" t="s">
        <v>364</v>
      </c>
      <c r="D123" s="3"/>
      <c r="E123" s="3"/>
      <c r="F123" s="3" t="s">
        <v>350</v>
      </c>
      <c r="G123" s="3">
        <v>4</v>
      </c>
      <c r="H123" s="3"/>
      <c r="I123" s="3"/>
      <c r="J123" s="3" t="s">
        <v>252</v>
      </c>
      <c r="K123" s="1" t="s">
        <v>66</v>
      </c>
    </row>
    <row r="124" spans="1:11" x14ac:dyDescent="0.55000000000000004">
      <c r="A124" s="3" t="s">
        <v>173</v>
      </c>
      <c r="B124" s="3" t="s">
        <v>351</v>
      </c>
      <c r="C124" s="3" t="s">
        <v>365</v>
      </c>
      <c r="D124" s="3"/>
      <c r="E124" s="3"/>
      <c r="F124" s="3" t="s">
        <v>352</v>
      </c>
      <c r="G124" s="3">
        <v>6</v>
      </c>
      <c r="H124" s="3"/>
      <c r="I124" s="3"/>
      <c r="J124" s="3" t="s">
        <v>252</v>
      </c>
      <c r="K124" s="1" t="s">
        <v>66</v>
      </c>
    </row>
    <row r="125" spans="1:11" x14ac:dyDescent="0.55000000000000004">
      <c r="A125" s="1" t="s">
        <v>173</v>
      </c>
      <c r="B125" s="1" t="s">
        <v>323</v>
      </c>
      <c r="C125" s="1" t="s">
        <v>337</v>
      </c>
      <c r="D125" s="1"/>
      <c r="E125" s="1"/>
      <c r="F125" s="1" t="s">
        <v>324</v>
      </c>
      <c r="G125" s="1">
        <v>15</v>
      </c>
      <c r="H125" s="1"/>
      <c r="I125" s="1"/>
      <c r="J125" s="1" t="s">
        <v>252</v>
      </c>
      <c r="K125" s="1" t="s">
        <v>66</v>
      </c>
    </row>
    <row r="126" spans="1:11" x14ac:dyDescent="0.55000000000000004">
      <c r="A126" s="1" t="s">
        <v>173</v>
      </c>
      <c r="B126" s="1" t="s">
        <v>321</v>
      </c>
      <c r="C126" s="1" t="s">
        <v>336</v>
      </c>
      <c r="D126" s="1"/>
      <c r="E126" s="1"/>
      <c r="F126" s="1" t="s">
        <v>322</v>
      </c>
      <c r="G126" s="1">
        <v>20</v>
      </c>
      <c r="H126" s="1"/>
      <c r="I126" s="1"/>
      <c r="J126" s="1" t="s">
        <v>252</v>
      </c>
      <c r="K126" s="1" t="s">
        <v>66</v>
      </c>
    </row>
    <row r="127" spans="1:11" x14ac:dyDescent="0.55000000000000004">
      <c r="A127" s="1" t="s">
        <v>19</v>
      </c>
      <c r="B127" s="1">
        <v>104330</v>
      </c>
      <c r="C127" s="1" t="s">
        <v>288</v>
      </c>
      <c r="D127" s="1"/>
      <c r="E127" s="1" t="s">
        <v>309</v>
      </c>
      <c r="F127" s="1" t="s">
        <v>18</v>
      </c>
      <c r="G127" s="1">
        <v>105</v>
      </c>
      <c r="H127" s="1">
        <v>105</v>
      </c>
      <c r="I127" s="1">
        <v>0</v>
      </c>
      <c r="J127" s="1" t="s">
        <v>249</v>
      </c>
      <c r="K127" s="1" t="s">
        <v>66</v>
      </c>
    </row>
    <row r="128" spans="1:11" x14ac:dyDescent="0.55000000000000004">
      <c r="A128" s="1" t="s">
        <v>173</v>
      </c>
      <c r="B128" s="1" t="s">
        <v>325</v>
      </c>
      <c r="C128" s="1" t="s">
        <v>338</v>
      </c>
      <c r="D128" s="1"/>
      <c r="E128" s="1"/>
      <c r="F128" s="1" t="s">
        <v>326</v>
      </c>
      <c r="G128" s="1">
        <v>35</v>
      </c>
      <c r="H128" s="1"/>
      <c r="I128" s="1"/>
      <c r="J128" s="1" t="s">
        <v>252</v>
      </c>
      <c r="K128" s="1" t="s">
        <v>66</v>
      </c>
    </row>
    <row r="129" spans="1:11" x14ac:dyDescent="0.55000000000000004">
      <c r="A129" s="1" t="s">
        <v>173</v>
      </c>
      <c r="B129" s="1" t="s">
        <v>290</v>
      </c>
      <c r="C129" s="1" t="s">
        <v>312</v>
      </c>
      <c r="D129" s="1"/>
      <c r="E129" s="1" t="s">
        <v>314</v>
      </c>
      <c r="F129" s="1" t="s">
        <v>292</v>
      </c>
      <c r="G129" s="1">
        <v>10</v>
      </c>
      <c r="H129" s="1"/>
      <c r="I129" s="1"/>
      <c r="J129" s="1" t="s">
        <v>252</v>
      </c>
      <c r="K129" s="1" t="s">
        <v>66</v>
      </c>
    </row>
    <row r="130" spans="1:11" x14ac:dyDescent="0.55000000000000004">
      <c r="A130" s="1" t="s">
        <v>173</v>
      </c>
      <c r="B130" s="1" t="s">
        <v>311</v>
      </c>
      <c r="C130" s="1" t="s">
        <v>313</v>
      </c>
      <c r="D130" s="1"/>
      <c r="E130" s="1" t="s">
        <v>315</v>
      </c>
      <c r="F130" s="1" t="s">
        <v>291</v>
      </c>
      <c r="G130" s="1">
        <v>5</v>
      </c>
      <c r="H130" s="1"/>
      <c r="I130" s="1"/>
      <c r="J130" s="1" t="s">
        <v>252</v>
      </c>
      <c r="K130" s="1" t="s">
        <v>66</v>
      </c>
    </row>
    <row r="131" spans="1:11" x14ac:dyDescent="0.55000000000000004">
      <c r="A131" s="1" t="s">
        <v>173</v>
      </c>
      <c r="B131" s="1" t="s">
        <v>330</v>
      </c>
      <c r="C131" s="1" t="s">
        <v>340</v>
      </c>
      <c r="D131" s="1"/>
      <c r="E131" s="1"/>
      <c r="F131" s="1" t="s">
        <v>331</v>
      </c>
      <c r="G131" s="1">
        <v>29</v>
      </c>
      <c r="H131" s="1"/>
      <c r="I131" s="1"/>
      <c r="J131" s="1" t="s">
        <v>329</v>
      </c>
      <c r="K131" s="1" t="s">
        <v>66</v>
      </c>
    </row>
    <row r="132" spans="1:11" x14ac:dyDescent="0.55000000000000004">
      <c r="A132" s="1" t="s">
        <v>22</v>
      </c>
      <c r="B132" s="1">
        <v>13470</v>
      </c>
      <c r="C132" s="1" t="s">
        <v>369</v>
      </c>
      <c r="D132" s="1" t="s">
        <v>371</v>
      </c>
      <c r="E132" s="1"/>
      <c r="F132" s="1" t="s">
        <v>366</v>
      </c>
      <c r="G132" s="1">
        <v>46</v>
      </c>
      <c r="H132" s="1"/>
      <c r="I132" s="1"/>
      <c r="J132" s="1" t="s">
        <v>368</v>
      </c>
      <c r="K132" s="1" t="s">
        <v>66</v>
      </c>
    </row>
    <row r="133" spans="1:11" x14ac:dyDescent="0.55000000000000004">
      <c r="A133" s="1" t="s">
        <v>22</v>
      </c>
      <c r="B133" s="1">
        <v>13470</v>
      </c>
      <c r="C133" s="1" t="s">
        <v>370</v>
      </c>
      <c r="D133" s="1" t="s">
        <v>372</v>
      </c>
      <c r="E133" s="1"/>
      <c r="F133" s="1" t="s">
        <v>367</v>
      </c>
      <c r="G133" s="1">
        <v>50</v>
      </c>
      <c r="H133" s="1"/>
      <c r="I133" s="1"/>
      <c r="J133" s="1" t="s">
        <v>368</v>
      </c>
      <c r="K133" s="1" t="s">
        <v>66</v>
      </c>
    </row>
    <row r="134" spans="1:11" x14ac:dyDescent="0.55000000000000004">
      <c r="A134" s="1" t="s">
        <v>119</v>
      </c>
      <c r="B134" s="1">
        <v>14071</v>
      </c>
      <c r="C134" s="1" t="s">
        <v>286</v>
      </c>
      <c r="D134" s="1"/>
      <c r="E134" s="1" t="s">
        <v>307</v>
      </c>
      <c r="F134" s="1" t="s">
        <v>120</v>
      </c>
      <c r="G134" s="1">
        <v>25</v>
      </c>
      <c r="H134" s="1"/>
      <c r="I134" s="1"/>
      <c r="J134" s="1" t="s">
        <v>268</v>
      </c>
      <c r="K134" s="1" t="s">
        <v>66</v>
      </c>
    </row>
    <row r="135" spans="1:11" x14ac:dyDescent="0.55000000000000004">
      <c r="A135" s="3" t="s">
        <v>345</v>
      </c>
      <c r="B135" s="3">
        <v>5449</v>
      </c>
      <c r="C135" s="3" t="s">
        <v>380</v>
      </c>
      <c r="D135" s="3"/>
      <c r="E135" s="3" t="s">
        <v>382</v>
      </c>
      <c r="F135" s="3" t="s">
        <v>346</v>
      </c>
      <c r="G135" s="3">
        <v>100</v>
      </c>
      <c r="H135" s="3"/>
      <c r="I135" s="3"/>
      <c r="J135" s="3" t="s">
        <v>348</v>
      </c>
      <c r="K135" s="1" t="s">
        <v>66</v>
      </c>
    </row>
    <row r="136" spans="1:11" x14ac:dyDescent="0.55000000000000004">
      <c r="A136" s="3" t="s">
        <v>345</v>
      </c>
      <c r="B136" s="3">
        <v>5449</v>
      </c>
      <c r="C136" s="3" t="s">
        <v>381</v>
      </c>
      <c r="D136" s="3"/>
      <c r="E136" s="3" t="s">
        <v>383</v>
      </c>
      <c r="F136" s="3" t="s">
        <v>347</v>
      </c>
      <c r="G136" s="3">
        <v>100</v>
      </c>
      <c r="H136" s="3"/>
      <c r="I136" s="3"/>
      <c r="J136" s="3" t="s">
        <v>348</v>
      </c>
      <c r="K136" s="1" t="s">
        <v>66</v>
      </c>
    </row>
    <row r="137" spans="1:11" x14ac:dyDescent="0.55000000000000004">
      <c r="A137" s="1" t="s">
        <v>81</v>
      </c>
      <c r="B137" s="1">
        <v>2024286</v>
      </c>
      <c r="C137" s="1" t="s">
        <v>384</v>
      </c>
      <c r="D137" s="1"/>
      <c r="E137" s="1" t="s">
        <v>385</v>
      </c>
      <c r="F137" s="1" t="s">
        <v>379</v>
      </c>
      <c r="G137" s="1">
        <v>45</v>
      </c>
      <c r="H137" s="1"/>
      <c r="I137" s="1"/>
      <c r="J137" s="1" t="s">
        <v>329</v>
      </c>
      <c r="K137" s="3" t="s">
        <v>66</v>
      </c>
    </row>
    <row r="138" spans="1:11" x14ac:dyDescent="0.55000000000000004">
      <c r="A138" s="1" t="s">
        <v>81</v>
      </c>
      <c r="B138" s="1">
        <v>2024296</v>
      </c>
      <c r="C138" s="1"/>
      <c r="D138" s="1"/>
      <c r="E138" s="1"/>
      <c r="F138" s="1" t="s">
        <v>391</v>
      </c>
      <c r="G138" s="1">
        <v>50</v>
      </c>
      <c r="H138" s="1"/>
      <c r="I138" s="1"/>
      <c r="J138" s="39">
        <v>45605</v>
      </c>
      <c r="K138" s="3" t="s">
        <v>66</v>
      </c>
    </row>
    <row r="139" spans="1:11" x14ac:dyDescent="0.55000000000000004">
      <c r="A139" s="38" t="s">
        <v>8</v>
      </c>
      <c r="B139" s="38" t="s">
        <v>250</v>
      </c>
      <c r="C139" s="38" t="s">
        <v>284</v>
      </c>
      <c r="D139" s="38" t="s">
        <v>374</v>
      </c>
      <c r="E139" s="38"/>
      <c r="F139" s="38" t="s">
        <v>251</v>
      </c>
      <c r="G139" s="38">
        <v>30</v>
      </c>
      <c r="H139" s="38"/>
      <c r="I139" s="38"/>
      <c r="J139" s="38" t="s">
        <v>252</v>
      </c>
      <c r="K139" s="3" t="s">
        <v>66</v>
      </c>
    </row>
    <row r="140" spans="1:11" x14ac:dyDescent="0.55000000000000004">
      <c r="A140" s="3" t="s">
        <v>29</v>
      </c>
      <c r="B140" s="3" t="s">
        <v>109</v>
      </c>
      <c r="C140" s="3"/>
      <c r="D140" s="3"/>
      <c r="E140" s="3"/>
      <c r="F140" s="3" t="s">
        <v>32</v>
      </c>
      <c r="G140" s="3">
        <v>950</v>
      </c>
      <c r="H140" s="3">
        <f>56+96+104+2+37+80+109+88+78+72+228</f>
        <v>950</v>
      </c>
      <c r="I140" s="3">
        <f>G140-H140</f>
        <v>0</v>
      </c>
      <c r="J140" s="3" t="s">
        <v>118</v>
      </c>
      <c r="K140" s="3" t="s">
        <v>66</v>
      </c>
    </row>
    <row r="141" spans="1:11" x14ac:dyDescent="0.55000000000000004">
      <c r="A141" s="1" t="s">
        <v>376</v>
      </c>
      <c r="B141" s="1" t="s">
        <v>375</v>
      </c>
      <c r="C141" s="1" t="s">
        <v>401</v>
      </c>
      <c r="D141" s="1"/>
      <c r="E141" s="1"/>
      <c r="F141" s="1" t="s">
        <v>54</v>
      </c>
      <c r="G141" s="1">
        <v>25</v>
      </c>
      <c r="H141" s="1"/>
      <c r="I141" s="1"/>
      <c r="J141" s="1" t="s">
        <v>378</v>
      </c>
      <c r="K141" s="3" t="s">
        <v>66</v>
      </c>
    </row>
    <row r="142" spans="1:11" x14ac:dyDescent="0.55000000000000004">
      <c r="A142" s="1" t="s">
        <v>376</v>
      </c>
      <c r="B142" s="1" t="s">
        <v>375</v>
      </c>
      <c r="C142" s="1" t="s">
        <v>402</v>
      </c>
      <c r="D142" s="1"/>
      <c r="E142" s="1"/>
      <c r="F142" s="1" t="s">
        <v>49</v>
      </c>
      <c r="G142" s="1">
        <v>60</v>
      </c>
      <c r="H142" s="1"/>
      <c r="I142" s="1"/>
      <c r="J142" s="1" t="s">
        <v>378</v>
      </c>
      <c r="K142" s="3" t="s">
        <v>66</v>
      </c>
    </row>
    <row r="143" spans="1:11" x14ac:dyDescent="0.55000000000000004">
      <c r="A143" s="1" t="s">
        <v>376</v>
      </c>
      <c r="B143" s="1" t="s">
        <v>375</v>
      </c>
      <c r="C143" s="1" t="s">
        <v>403</v>
      </c>
      <c r="D143" s="1"/>
      <c r="E143" s="1"/>
      <c r="F143" s="1" t="s">
        <v>58</v>
      </c>
      <c r="G143" s="1">
        <v>20</v>
      </c>
      <c r="H143" s="1"/>
      <c r="I143" s="1"/>
      <c r="J143" s="1" t="s">
        <v>378</v>
      </c>
      <c r="K143" s="3" t="s">
        <v>66</v>
      </c>
    </row>
    <row r="144" spans="1:11" x14ac:dyDescent="0.55000000000000004">
      <c r="A144" s="1" t="s">
        <v>81</v>
      </c>
      <c r="B144" s="1">
        <v>2024307</v>
      </c>
      <c r="C144" s="1" t="s">
        <v>405</v>
      </c>
      <c r="D144" s="1"/>
      <c r="E144" s="1" t="s">
        <v>406</v>
      </c>
      <c r="F144" s="1" t="s">
        <v>407</v>
      </c>
      <c r="G144" s="1">
        <v>10</v>
      </c>
      <c r="H144" s="1"/>
      <c r="I144" s="1"/>
      <c r="J144" s="39">
        <v>45618</v>
      </c>
      <c r="K144" s="1" t="s">
        <v>66</v>
      </c>
    </row>
    <row r="145" spans="1:11" ht="28.8" x14ac:dyDescent="0.55000000000000004">
      <c r="A145" s="41" t="s">
        <v>81</v>
      </c>
      <c r="B145" s="41">
        <v>2024309</v>
      </c>
      <c r="C145" s="41" t="s">
        <v>423</v>
      </c>
      <c r="D145" s="41"/>
      <c r="E145" s="42" t="s">
        <v>426</v>
      </c>
      <c r="F145" s="41" t="s">
        <v>414</v>
      </c>
      <c r="G145" s="41">
        <v>5</v>
      </c>
      <c r="H145" s="41"/>
      <c r="I145" s="41"/>
      <c r="J145" s="43">
        <v>45636</v>
      </c>
      <c r="K145" s="1" t="s">
        <v>66</v>
      </c>
    </row>
    <row r="146" spans="1:11" x14ac:dyDescent="0.55000000000000004">
      <c r="A146" s="1" t="s">
        <v>376</v>
      </c>
      <c r="B146" s="1" t="s">
        <v>375</v>
      </c>
      <c r="C146" s="1" t="s">
        <v>399</v>
      </c>
      <c r="D146" s="1"/>
      <c r="E146" s="1"/>
      <c r="F146" s="1" t="s">
        <v>47</v>
      </c>
      <c r="G146" s="1">
        <v>50</v>
      </c>
      <c r="H146" s="1"/>
      <c r="I146" s="1"/>
      <c r="J146" s="39">
        <v>45595</v>
      </c>
      <c r="K146" s="3" t="s">
        <v>66</v>
      </c>
    </row>
    <row r="147" spans="1:11" x14ac:dyDescent="0.55000000000000004">
      <c r="A147" s="1" t="s">
        <v>376</v>
      </c>
      <c r="B147" s="1" t="s">
        <v>375</v>
      </c>
      <c r="C147" s="1" t="s">
        <v>400</v>
      </c>
      <c r="D147" s="1"/>
      <c r="E147" s="1"/>
      <c r="F147" s="1" t="s">
        <v>53</v>
      </c>
      <c r="G147" s="1">
        <v>25</v>
      </c>
      <c r="H147" s="1"/>
      <c r="I147" s="1"/>
      <c r="J147" s="39">
        <v>45595</v>
      </c>
      <c r="K147" s="3" t="s">
        <v>66</v>
      </c>
    </row>
    <row r="148" spans="1:11" x14ac:dyDescent="0.55000000000000004">
      <c r="A148" s="1" t="s">
        <v>376</v>
      </c>
      <c r="B148" s="1" t="s">
        <v>375</v>
      </c>
      <c r="C148" s="1" t="s">
        <v>404</v>
      </c>
      <c r="D148" s="1"/>
      <c r="E148" s="1"/>
      <c r="F148" s="1" t="s">
        <v>377</v>
      </c>
      <c r="G148" s="1">
        <v>10</v>
      </c>
      <c r="H148" s="1"/>
      <c r="I148" s="1"/>
      <c r="J148" s="39">
        <v>45595</v>
      </c>
      <c r="K148" s="3" t="s">
        <v>66</v>
      </c>
    </row>
    <row r="149" spans="1:11" x14ac:dyDescent="0.55000000000000004">
      <c r="A149" s="1" t="s">
        <v>13</v>
      </c>
      <c r="B149" s="1" t="s">
        <v>16</v>
      </c>
      <c r="C149" s="1"/>
      <c r="D149" s="1">
        <v>2</v>
      </c>
      <c r="E149" s="1" t="s">
        <v>115</v>
      </c>
      <c r="F149" s="1" t="s">
        <v>14</v>
      </c>
      <c r="G149" s="1">
        <v>200</v>
      </c>
      <c r="H149" s="1"/>
      <c r="I149" s="1"/>
      <c r="J149" s="39">
        <v>45600</v>
      </c>
      <c r="K149" s="1" t="s">
        <v>66</v>
      </c>
    </row>
    <row r="150" spans="1:11" x14ac:dyDescent="0.55000000000000004">
      <c r="A150" s="3" t="s">
        <v>26</v>
      </c>
      <c r="B150" s="3">
        <v>65947</v>
      </c>
      <c r="C150" s="3"/>
      <c r="D150" s="3">
        <v>1</v>
      </c>
      <c r="E150" s="3" t="s">
        <v>317</v>
      </c>
      <c r="F150" s="3" t="s">
        <v>27</v>
      </c>
      <c r="G150" s="3">
        <v>500</v>
      </c>
      <c r="H150" s="3">
        <f>60+110+54+63+109+91+11</f>
        <v>498</v>
      </c>
      <c r="I150" s="3">
        <f>G150-H150</f>
        <v>2</v>
      </c>
      <c r="J150" s="40"/>
      <c r="K150" s="1" t="s">
        <v>66</v>
      </c>
    </row>
    <row r="151" spans="1:11" x14ac:dyDescent="0.55000000000000004">
      <c r="A151" s="1" t="s">
        <v>408</v>
      </c>
      <c r="B151" s="1">
        <v>2824</v>
      </c>
      <c r="C151" s="1"/>
      <c r="D151" s="1"/>
      <c r="E151" s="1"/>
      <c r="F151" s="1" t="s">
        <v>409</v>
      </c>
      <c r="G151" s="1">
        <v>50</v>
      </c>
      <c r="H151" s="1">
        <v>50</v>
      </c>
      <c r="I151" s="1"/>
      <c r="J151" s="39">
        <v>45615</v>
      </c>
      <c r="K151" s="1" t="s">
        <v>66</v>
      </c>
    </row>
    <row r="152" spans="1:11" x14ac:dyDescent="0.55000000000000004">
      <c r="A152" s="1" t="s">
        <v>173</v>
      </c>
      <c r="B152" s="1" t="s">
        <v>327</v>
      </c>
      <c r="C152" s="1" t="s">
        <v>339</v>
      </c>
      <c r="D152" s="1"/>
      <c r="E152" s="1"/>
      <c r="F152" s="1" t="s">
        <v>328</v>
      </c>
      <c r="G152" s="1">
        <v>50</v>
      </c>
      <c r="H152" s="1"/>
      <c r="I152" s="1"/>
      <c r="J152" s="39">
        <v>45624</v>
      </c>
      <c r="K152" s="1" t="s">
        <v>66</v>
      </c>
    </row>
    <row r="153" spans="1:11" x14ac:dyDescent="0.55000000000000004">
      <c r="A153" s="1" t="s">
        <v>173</v>
      </c>
      <c r="B153" s="1" t="s">
        <v>420</v>
      </c>
      <c r="C153" s="1"/>
      <c r="D153" s="1"/>
      <c r="E153" s="1"/>
      <c r="F153" s="1" t="s">
        <v>444</v>
      </c>
      <c r="G153" s="1">
        <v>21</v>
      </c>
      <c r="H153" s="1"/>
      <c r="I153" s="1"/>
      <c r="J153" s="39">
        <v>45625</v>
      </c>
      <c r="K153" s="1" t="s">
        <v>66</v>
      </c>
    </row>
    <row r="154" spans="1:11" ht="28.8" x14ac:dyDescent="0.55000000000000004">
      <c r="A154" s="41" t="s">
        <v>81</v>
      </c>
      <c r="B154" s="41">
        <v>2024315</v>
      </c>
      <c r="C154" s="41" t="s">
        <v>421</v>
      </c>
      <c r="D154" s="41"/>
      <c r="E154" s="42" t="s">
        <v>425</v>
      </c>
      <c r="F154" s="41" t="s">
        <v>269</v>
      </c>
      <c r="G154" s="41">
        <v>50</v>
      </c>
      <c r="H154" s="41"/>
      <c r="I154" s="41"/>
      <c r="J154" s="43">
        <v>45618</v>
      </c>
      <c r="K154" s="41" t="s">
        <v>66</v>
      </c>
    </row>
    <row r="155" spans="1:11" ht="28.8" x14ac:dyDescent="0.55000000000000004">
      <c r="A155" s="41" t="s">
        <v>81</v>
      </c>
      <c r="B155" s="41">
        <v>2024316</v>
      </c>
      <c r="C155" s="41" t="s">
        <v>422</v>
      </c>
      <c r="D155" s="41"/>
      <c r="E155" s="42" t="s">
        <v>437</v>
      </c>
      <c r="F155" s="41" t="s">
        <v>418</v>
      </c>
      <c r="G155" s="41">
        <v>20</v>
      </c>
      <c r="H155" s="41"/>
      <c r="I155" s="41"/>
      <c r="J155" s="43">
        <v>45627</v>
      </c>
      <c r="K155" s="41" t="s">
        <v>66</v>
      </c>
    </row>
    <row r="156" spans="1:11" ht="28.8" x14ac:dyDescent="0.55000000000000004">
      <c r="A156" s="41" t="s">
        <v>81</v>
      </c>
      <c r="B156" s="41">
        <v>2024326</v>
      </c>
      <c r="C156" s="41" t="s">
        <v>424</v>
      </c>
      <c r="D156" s="41"/>
      <c r="E156" s="42" t="s">
        <v>427</v>
      </c>
      <c r="F156" s="41" t="s">
        <v>419</v>
      </c>
      <c r="G156" s="41">
        <v>25</v>
      </c>
      <c r="H156" s="41"/>
      <c r="I156" s="41"/>
      <c r="J156" s="43">
        <v>45631</v>
      </c>
      <c r="K156" s="41" t="s">
        <v>66</v>
      </c>
    </row>
    <row r="157" spans="1:11" ht="28.8" x14ac:dyDescent="0.55000000000000004">
      <c r="A157" s="1" t="s">
        <v>173</v>
      </c>
      <c r="B157" s="1" t="s">
        <v>417</v>
      </c>
      <c r="C157" s="1"/>
      <c r="D157" s="1"/>
      <c r="E157" s="3" t="s">
        <v>442</v>
      </c>
      <c r="F157" s="1" t="s">
        <v>439</v>
      </c>
      <c r="G157" s="1">
        <v>5</v>
      </c>
      <c r="H157" s="1"/>
      <c r="I157" s="1"/>
      <c r="J157" s="39">
        <v>45624</v>
      </c>
      <c r="K157" s="1" t="s">
        <v>66</v>
      </c>
    </row>
    <row r="158" spans="1:11" ht="28.8" x14ac:dyDescent="0.55000000000000004">
      <c r="A158" s="1" t="s">
        <v>173</v>
      </c>
      <c r="B158" s="1" t="s">
        <v>413</v>
      </c>
      <c r="C158" s="1"/>
      <c r="D158" s="1"/>
      <c r="E158" s="3" t="s">
        <v>445</v>
      </c>
      <c r="F158" s="1" t="s">
        <v>440</v>
      </c>
      <c r="G158" s="1">
        <v>5</v>
      </c>
      <c r="H158" s="1"/>
      <c r="I158" s="1"/>
      <c r="J158" s="39">
        <v>45624</v>
      </c>
      <c r="K158" s="1" t="s">
        <v>66</v>
      </c>
    </row>
    <row r="159" spans="1:11" x14ac:dyDescent="0.55000000000000004">
      <c r="A159" s="1" t="s">
        <v>173</v>
      </c>
      <c r="B159" s="1" t="s">
        <v>389</v>
      </c>
      <c r="C159" s="1"/>
      <c r="D159" s="1"/>
      <c r="E159" s="1"/>
      <c r="F159" s="1" t="s">
        <v>393</v>
      </c>
      <c r="G159" s="1">
        <v>30</v>
      </c>
      <c r="H159" s="1"/>
      <c r="I159" s="1"/>
      <c r="J159" s="39">
        <v>45631</v>
      </c>
      <c r="K159" s="1" t="s">
        <v>66</v>
      </c>
    </row>
    <row r="160" spans="1:11" x14ac:dyDescent="0.55000000000000004">
      <c r="A160" s="1" t="s">
        <v>173</v>
      </c>
      <c r="B160" s="1" t="s">
        <v>396</v>
      </c>
      <c r="C160" s="1"/>
      <c r="D160" s="1"/>
      <c r="E160" s="1"/>
      <c r="F160" s="1" t="s">
        <v>397</v>
      </c>
      <c r="G160" s="1">
        <v>5</v>
      </c>
      <c r="H160" s="1"/>
      <c r="I160" s="1"/>
      <c r="J160" s="39">
        <v>45631</v>
      </c>
      <c r="K160" s="1" t="s">
        <v>66</v>
      </c>
    </row>
    <row r="161" spans="1:11" x14ac:dyDescent="0.55000000000000004">
      <c r="A161" s="1" t="s">
        <v>173</v>
      </c>
      <c r="B161" s="1" t="s">
        <v>395</v>
      </c>
      <c r="C161" s="1"/>
      <c r="D161" s="1"/>
      <c r="E161" s="1"/>
      <c r="F161" s="1" t="s">
        <v>398</v>
      </c>
      <c r="G161" s="1">
        <v>5</v>
      </c>
      <c r="H161" s="1"/>
      <c r="I161" s="1"/>
      <c r="J161" s="39">
        <v>45631</v>
      </c>
      <c r="K161" s="1" t="s">
        <v>66</v>
      </c>
    </row>
    <row r="162" spans="1:11" x14ac:dyDescent="0.55000000000000004">
      <c r="A162" s="1" t="s">
        <v>434</v>
      </c>
      <c r="B162" s="1">
        <v>611</v>
      </c>
      <c r="C162" s="1"/>
      <c r="D162" s="1"/>
      <c r="E162" s="1"/>
      <c r="F162" s="1" t="s">
        <v>435</v>
      </c>
      <c r="G162" s="1">
        <v>10</v>
      </c>
      <c r="H162" s="1"/>
      <c r="I162" s="1"/>
      <c r="J162" s="39">
        <v>45635</v>
      </c>
      <c r="K162" s="1" t="s">
        <v>66</v>
      </c>
    </row>
    <row r="163" spans="1:11" x14ac:dyDescent="0.55000000000000004">
      <c r="A163" s="1" t="s">
        <v>173</v>
      </c>
      <c r="B163" s="1" t="s">
        <v>388</v>
      </c>
      <c r="C163" s="1"/>
      <c r="D163" s="1"/>
      <c r="E163" s="1"/>
      <c r="F163" s="1" t="s">
        <v>392</v>
      </c>
      <c r="G163" s="1">
        <v>12</v>
      </c>
      <c r="H163" s="1"/>
      <c r="I163" s="1"/>
      <c r="J163" s="39">
        <v>45631</v>
      </c>
      <c r="K163" s="1" t="s">
        <v>66</v>
      </c>
    </row>
    <row r="164" spans="1:11" x14ac:dyDescent="0.55000000000000004">
      <c r="A164" s="1" t="s">
        <v>81</v>
      </c>
      <c r="B164" s="1" t="s">
        <v>193</v>
      </c>
      <c r="C164" s="1" t="s">
        <v>205</v>
      </c>
      <c r="D164" s="1"/>
      <c r="E164" s="1"/>
      <c r="F164" s="1" t="s">
        <v>188</v>
      </c>
      <c r="G164" s="1">
        <v>15</v>
      </c>
      <c r="H164" s="1"/>
      <c r="I164" s="1"/>
      <c r="J164" s="1" t="s">
        <v>189</v>
      </c>
      <c r="K164" s="1" t="s">
        <v>66</v>
      </c>
    </row>
    <row r="165" spans="1:11" x14ac:dyDescent="0.55000000000000004">
      <c r="A165" s="38" t="s">
        <v>173</v>
      </c>
      <c r="B165" s="38" t="s">
        <v>463</v>
      </c>
      <c r="C165" s="38"/>
      <c r="D165" s="38"/>
      <c r="E165" s="38"/>
      <c r="F165" s="38" t="s">
        <v>416</v>
      </c>
      <c r="G165" s="38">
        <v>8</v>
      </c>
      <c r="H165" s="38"/>
      <c r="I165" s="38"/>
      <c r="J165" s="44">
        <v>45636</v>
      </c>
      <c r="K165" s="38" t="s">
        <v>65</v>
      </c>
    </row>
    <row r="166" spans="1:11" x14ac:dyDescent="0.55000000000000004">
      <c r="A166" s="1" t="s">
        <v>45</v>
      </c>
      <c r="B166" s="1" t="s">
        <v>441</v>
      </c>
      <c r="C166" s="1"/>
      <c r="D166" s="1"/>
      <c r="E166" s="1"/>
      <c r="F166" s="1" t="s">
        <v>58</v>
      </c>
      <c r="G166" s="1">
        <v>50</v>
      </c>
      <c r="H166" s="1"/>
      <c r="I166" s="1"/>
      <c r="J166" s="39">
        <v>45634</v>
      </c>
      <c r="K166" s="1" t="s">
        <v>66</v>
      </c>
    </row>
    <row r="167" spans="1:11" x14ac:dyDescent="0.55000000000000004">
      <c r="A167" s="1" t="s">
        <v>45</v>
      </c>
      <c r="B167" s="1" t="s">
        <v>441</v>
      </c>
      <c r="C167" s="1"/>
      <c r="D167" s="1"/>
      <c r="E167" s="1"/>
      <c r="F167" s="1" t="s">
        <v>51</v>
      </c>
      <c r="G167" s="1">
        <v>56</v>
      </c>
      <c r="H167" s="1"/>
      <c r="I167" s="1"/>
      <c r="J167" s="39">
        <v>45634</v>
      </c>
      <c r="K167" s="1" t="s">
        <v>66</v>
      </c>
    </row>
    <row r="168" spans="1:11" x14ac:dyDescent="0.55000000000000004">
      <c r="A168" s="1" t="s">
        <v>45</v>
      </c>
      <c r="B168" s="1" t="s">
        <v>441</v>
      </c>
      <c r="C168" s="1"/>
      <c r="D168" s="1"/>
      <c r="E168" s="1"/>
      <c r="F168" s="1" t="s">
        <v>55</v>
      </c>
      <c r="G168" s="1">
        <v>25</v>
      </c>
      <c r="H168" s="1"/>
      <c r="I168" s="1"/>
      <c r="J168" s="39">
        <v>45634</v>
      </c>
      <c r="K168" s="1" t="s">
        <v>66</v>
      </c>
    </row>
    <row r="169" spans="1:11" x14ac:dyDescent="0.55000000000000004">
      <c r="A169" s="1" t="s">
        <v>408</v>
      </c>
      <c r="B169" s="1">
        <v>2839</v>
      </c>
      <c r="C169" s="1"/>
      <c r="D169" s="1"/>
      <c r="E169" s="1"/>
      <c r="F169" s="1" t="s">
        <v>449</v>
      </c>
      <c r="G169" s="1">
        <v>5</v>
      </c>
      <c r="H169" s="1"/>
      <c r="I169" s="1"/>
      <c r="J169" s="39">
        <v>45634</v>
      </c>
      <c r="K169" s="1" t="s">
        <v>66</v>
      </c>
    </row>
    <row r="170" spans="1:11" ht="43.2" x14ac:dyDescent="0.55000000000000004">
      <c r="A170" s="1" t="s">
        <v>29</v>
      </c>
      <c r="B170" s="1" t="s">
        <v>429</v>
      </c>
      <c r="C170" s="1"/>
      <c r="D170" s="1"/>
      <c r="E170" s="1"/>
      <c r="F170" s="3" t="s">
        <v>430</v>
      </c>
      <c r="G170" s="1">
        <v>910</v>
      </c>
      <c r="H170" s="1"/>
      <c r="I170" s="1"/>
      <c r="J170" s="39">
        <v>45657</v>
      </c>
      <c r="K170" s="1" t="s">
        <v>66</v>
      </c>
    </row>
  </sheetData>
  <autoFilter ref="A1:K170" xr:uid="{ED4F64E8-A574-4ED0-9E93-7D82BAFC1E3D}"/>
  <conditionalFormatting sqref="K1:K170">
    <cfRule type="containsText" dxfId="42" priority="1" operator="containsText" text="Shipped">
      <formula>NOT(ISERROR(SEARCH("Shipped",K1)))</formula>
    </cfRule>
    <cfRule type="containsText" dxfId="41" priority="2" operator="containsText" text="Packaging">
      <formula>NOT(ISERROR(SEARCH("Packaging",K1)))</formula>
    </cfRule>
    <cfRule type="containsText" dxfId="40" priority="3" operator="containsText" text="Final ">
      <formula>NOT(ISERROR(SEARCH("Final ",K1)))</formula>
    </cfRule>
    <cfRule type="containsText" dxfId="39" priority="4" operator="containsText" text="at Inspecting after RC from Conf.Coat.">
      <formula>NOT(ISERROR(SEARCH("at Inspecting after RC from Conf.Coat.",K1)))</formula>
    </cfRule>
    <cfRule type="containsText" dxfId="38" priority="5" operator="containsText" text="at Conformal Coating">
      <formula>NOT(ISERROR(SEARCH("at Conformal Coating",K1)))</formula>
    </cfRule>
    <cfRule type="containsText" dxfId="37" priority="6" operator="containsText" text="Through Hole">
      <formula>NOT(ISERROR(SEARCH("Through Hole",K1)))</formula>
    </cfRule>
    <cfRule type="containsText" dxfId="36" priority="7" operator="containsText" text="AOI">
      <formula>NOT(ISERROR(SEARCH("AOI",K1)))</formula>
    </cfRule>
    <cfRule type="containsText" dxfId="35" priority="8" operator="containsText" text="SMT Production">
      <formula>NOT(ISERROR(SEARCH("SMT Production",K1)))</formula>
    </cfRule>
    <cfRule type="containsText" dxfId="34" priority="9" operator="containsText" text="SMT Setup">
      <formula>NOT(ISERROR(SEARCH("SMT Setup",K1)))</formula>
    </cfRule>
    <cfRule type="containsText" dxfId="33" priority="10" operator="containsText" text="SMT Kitting">
      <formula>NOT(ISERROR(SEARCH("SMT Kitting",K1)))</formula>
    </cfRule>
    <cfRule type="containsText" dxfId="32" priority="11" operator="containsText" text="Receiving Inspection Completed">
      <formula>NOT(ISERROR(SEARCH("Receiving Inspection Completed",K1)))</formula>
    </cfRule>
    <cfRule type="containsText" dxfId="31" priority="12" operator="containsText" text="Receiving Inspection">
      <formula>NOT(ISERROR(SEARCH("Receiving Inspection",K1)))</formula>
    </cfRule>
    <cfRule type="containsText" dxfId="30" priority="13" operator="containsText" text="Purchasing Completed">
      <formula>NOT(ISERROR(SEARCH("Purchasing Completed",K1)))</formula>
    </cfRule>
    <cfRule type="containsText" dxfId="29" priority="14" operator="containsText" text="Purchasing in Progress">
      <formula>NOT(ISERROR(SEARCH("Purchasing in Progress",K1)))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FC45060-E56F-4C90-83F9-4DD68D0F9396}">
          <x14:formula1>
            <xm:f>'Color Code'!$A$2:$A$15</xm:f>
          </x14:formula1>
          <xm:sqref>K1:K170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E2EA7-AC75-4FB8-B024-5CBF51F78537}">
  <dimension ref="A1:I29"/>
  <sheetViews>
    <sheetView workbookViewId="0">
      <selection activeCell="A2" sqref="A2:B8"/>
    </sheetView>
  </sheetViews>
  <sheetFormatPr defaultRowHeight="14.4" x14ac:dyDescent="0.55000000000000004"/>
  <cols>
    <col min="2" max="2" width="12.83984375" customWidth="1"/>
  </cols>
  <sheetData>
    <row r="1" spans="1:9" x14ac:dyDescent="0.55000000000000004">
      <c r="A1" s="52" t="s">
        <v>2</v>
      </c>
      <c r="B1" s="45" t="s">
        <v>0</v>
      </c>
      <c r="C1" s="45" t="s">
        <v>1</v>
      </c>
      <c r="D1" s="45" t="s">
        <v>203</v>
      </c>
      <c r="E1" s="45" t="s">
        <v>71</v>
      </c>
      <c r="F1" s="45" t="s">
        <v>70</v>
      </c>
      <c r="G1" s="45" t="s">
        <v>2</v>
      </c>
      <c r="H1" s="45" t="s">
        <v>3</v>
      </c>
      <c r="I1" s="45" t="s">
        <v>5</v>
      </c>
    </row>
    <row r="2" spans="1:9" x14ac:dyDescent="0.55000000000000004">
      <c r="A2" s="51"/>
      <c r="B2" s="51"/>
      <c r="C2" s="51"/>
      <c r="D2" s="51"/>
      <c r="E2" s="51"/>
      <c r="F2" s="51"/>
      <c r="G2" s="51"/>
      <c r="H2" s="51"/>
      <c r="I2" s="51"/>
    </row>
    <row r="3" spans="1:9" x14ac:dyDescent="0.55000000000000004">
      <c r="A3" s="51"/>
      <c r="B3" s="51"/>
      <c r="C3" s="51"/>
      <c r="D3" s="51"/>
      <c r="E3" s="51"/>
      <c r="F3" s="51"/>
      <c r="G3" s="51"/>
      <c r="H3" s="51"/>
      <c r="I3" s="51"/>
    </row>
    <row r="4" spans="1:9" x14ac:dyDescent="0.55000000000000004">
      <c r="A4" s="51"/>
      <c r="B4" s="51"/>
      <c r="C4" s="51"/>
      <c r="D4" s="51"/>
      <c r="E4" s="51"/>
      <c r="F4" s="51"/>
      <c r="G4" s="51"/>
      <c r="H4" s="51"/>
      <c r="I4" s="51"/>
    </row>
    <row r="5" spans="1:9" x14ac:dyDescent="0.55000000000000004">
      <c r="A5" s="51"/>
      <c r="B5" s="51"/>
      <c r="C5" s="51"/>
      <c r="D5" s="51"/>
      <c r="E5" s="51"/>
      <c r="F5" s="51"/>
      <c r="G5" s="51"/>
      <c r="H5" s="51"/>
      <c r="I5" s="51"/>
    </row>
    <row r="6" spans="1:9" x14ac:dyDescent="0.55000000000000004">
      <c r="A6" s="51"/>
      <c r="B6" s="51"/>
      <c r="C6" s="51"/>
      <c r="D6" s="51"/>
      <c r="E6" s="51"/>
      <c r="F6" s="51"/>
      <c r="G6" s="51"/>
      <c r="H6" s="51"/>
      <c r="I6" s="51"/>
    </row>
    <row r="7" spans="1:9" x14ac:dyDescent="0.55000000000000004">
      <c r="A7" s="51"/>
      <c r="B7" s="51"/>
      <c r="C7" s="51"/>
      <c r="D7" s="51"/>
      <c r="E7" s="51"/>
      <c r="F7" s="51"/>
      <c r="G7" s="51"/>
      <c r="H7" s="51"/>
      <c r="I7" s="51"/>
    </row>
    <row r="8" spans="1:9" x14ac:dyDescent="0.55000000000000004">
      <c r="A8" s="51"/>
      <c r="B8" s="51"/>
      <c r="C8" s="51"/>
      <c r="D8" s="51"/>
      <c r="E8" s="51"/>
      <c r="F8" s="51"/>
      <c r="G8" s="51"/>
      <c r="H8" s="51"/>
      <c r="I8" s="51"/>
    </row>
    <row r="9" spans="1:9" x14ac:dyDescent="0.55000000000000004">
      <c r="A9" s="51"/>
      <c r="B9" s="51"/>
      <c r="C9" s="51"/>
      <c r="D9" s="51"/>
      <c r="E9" s="51"/>
      <c r="F9" s="51"/>
      <c r="G9" s="51"/>
      <c r="H9" s="51"/>
      <c r="I9" s="51"/>
    </row>
    <row r="10" spans="1:9" x14ac:dyDescent="0.55000000000000004">
      <c r="A10" s="51"/>
      <c r="B10" s="51"/>
      <c r="C10" s="51"/>
      <c r="D10" s="51"/>
      <c r="E10" s="51"/>
      <c r="F10" s="51"/>
      <c r="G10" s="51"/>
      <c r="H10" s="51"/>
      <c r="I10" s="51"/>
    </row>
    <row r="11" spans="1:9" x14ac:dyDescent="0.55000000000000004">
      <c r="A11" s="51"/>
      <c r="B11" s="51"/>
      <c r="C11" s="51"/>
      <c r="D11" s="51"/>
      <c r="E11" s="51"/>
      <c r="F11" s="51"/>
      <c r="G11" s="51"/>
      <c r="H11" s="51"/>
      <c r="I11" s="51"/>
    </row>
    <row r="12" spans="1:9" x14ac:dyDescent="0.55000000000000004">
      <c r="A12" s="51"/>
      <c r="B12" s="51"/>
      <c r="C12" s="51"/>
      <c r="D12" s="51"/>
      <c r="E12" s="51"/>
      <c r="F12" s="51"/>
      <c r="G12" s="51"/>
      <c r="H12" s="51"/>
      <c r="I12" s="51"/>
    </row>
    <row r="13" spans="1:9" x14ac:dyDescent="0.55000000000000004">
      <c r="A13" s="51"/>
      <c r="B13" s="51"/>
      <c r="C13" s="51"/>
      <c r="D13" s="51"/>
      <c r="E13" s="51"/>
      <c r="F13" s="51"/>
      <c r="G13" s="51"/>
      <c r="H13" s="51"/>
      <c r="I13" s="51"/>
    </row>
    <row r="14" spans="1:9" x14ac:dyDescent="0.55000000000000004">
      <c r="A14" s="51"/>
      <c r="B14" s="51"/>
      <c r="C14" s="51"/>
      <c r="D14" s="51"/>
      <c r="E14" s="51"/>
      <c r="F14" s="51"/>
      <c r="G14" s="51"/>
      <c r="H14" s="51"/>
      <c r="I14" s="51"/>
    </row>
    <row r="15" spans="1:9" x14ac:dyDescent="0.55000000000000004">
      <c r="A15" s="51"/>
      <c r="B15" s="51"/>
      <c r="C15" s="51"/>
      <c r="D15" s="51"/>
      <c r="E15" s="51"/>
      <c r="F15" s="51"/>
      <c r="G15" s="51"/>
      <c r="H15" s="51"/>
      <c r="I15" s="51"/>
    </row>
    <row r="16" spans="1:9" x14ac:dyDescent="0.55000000000000004">
      <c r="A16" s="51"/>
      <c r="B16" s="51"/>
      <c r="C16" s="51"/>
      <c r="D16" s="51"/>
      <c r="E16" s="51"/>
      <c r="F16" s="51"/>
      <c r="G16" s="51"/>
      <c r="H16" s="51"/>
      <c r="I16" s="51"/>
    </row>
    <row r="17" spans="1:9" x14ac:dyDescent="0.55000000000000004">
      <c r="A17" s="51"/>
      <c r="B17" s="51"/>
      <c r="C17" s="51"/>
      <c r="D17" s="51"/>
      <c r="E17" s="51"/>
      <c r="F17" s="51"/>
      <c r="G17" s="51"/>
      <c r="H17" s="51"/>
      <c r="I17" s="51"/>
    </row>
    <row r="18" spans="1:9" x14ac:dyDescent="0.55000000000000004">
      <c r="A18" s="51"/>
      <c r="B18" s="51"/>
      <c r="C18" s="51"/>
      <c r="D18" s="51"/>
      <c r="E18" s="51"/>
      <c r="F18" s="51"/>
      <c r="G18" s="51"/>
      <c r="H18" s="51"/>
      <c r="I18" s="51"/>
    </row>
    <row r="19" spans="1:9" x14ac:dyDescent="0.55000000000000004">
      <c r="A19" s="51"/>
      <c r="B19" s="51"/>
      <c r="C19" s="51"/>
      <c r="D19" s="51"/>
      <c r="E19" s="51"/>
      <c r="F19" s="51"/>
      <c r="G19" s="51"/>
      <c r="H19" s="51"/>
      <c r="I19" s="51"/>
    </row>
    <row r="20" spans="1:9" x14ac:dyDescent="0.55000000000000004">
      <c r="A20" s="51"/>
      <c r="B20" s="51"/>
      <c r="C20" s="51"/>
      <c r="D20" s="51"/>
      <c r="E20" s="51"/>
      <c r="F20" s="51"/>
      <c r="G20" s="51"/>
      <c r="H20" s="51"/>
      <c r="I20" s="51"/>
    </row>
    <row r="21" spans="1:9" x14ac:dyDescent="0.55000000000000004">
      <c r="A21" s="51"/>
      <c r="B21" s="51"/>
      <c r="C21" s="51"/>
      <c r="D21" s="51"/>
      <c r="E21" s="51"/>
      <c r="F21" s="51"/>
      <c r="G21" s="51"/>
      <c r="H21" s="51"/>
      <c r="I21" s="51"/>
    </row>
    <row r="22" spans="1:9" x14ac:dyDescent="0.55000000000000004">
      <c r="A22" s="51"/>
      <c r="B22" s="51"/>
      <c r="C22" s="51"/>
      <c r="D22" s="51"/>
      <c r="E22" s="51"/>
      <c r="F22" s="51"/>
      <c r="G22" s="51"/>
      <c r="H22" s="51"/>
      <c r="I22" s="51"/>
    </row>
    <row r="23" spans="1:9" x14ac:dyDescent="0.55000000000000004">
      <c r="A23" s="51"/>
      <c r="B23" s="51"/>
      <c r="C23" s="51"/>
      <c r="D23" s="51"/>
      <c r="E23" s="51"/>
      <c r="F23" s="51"/>
      <c r="G23" s="51"/>
      <c r="H23" s="51"/>
      <c r="I23" s="51"/>
    </row>
    <row r="24" spans="1:9" x14ac:dyDescent="0.55000000000000004">
      <c r="A24" s="51"/>
      <c r="B24" s="51"/>
      <c r="C24" s="51"/>
      <c r="D24" s="51"/>
      <c r="E24" s="51"/>
      <c r="F24" s="51"/>
      <c r="G24" s="51"/>
      <c r="H24" s="51"/>
      <c r="I24" s="51"/>
    </row>
    <row r="25" spans="1:9" x14ac:dyDescent="0.55000000000000004">
      <c r="A25" s="51"/>
      <c r="B25" s="51"/>
      <c r="C25" s="51"/>
      <c r="D25" s="51"/>
      <c r="E25" s="51"/>
      <c r="F25" s="51"/>
      <c r="G25" s="51"/>
      <c r="H25" s="51"/>
      <c r="I25" s="51"/>
    </row>
    <row r="26" spans="1:9" x14ac:dyDescent="0.55000000000000004">
      <c r="A26" s="51"/>
      <c r="B26" s="51"/>
      <c r="C26" s="51"/>
      <c r="D26" s="51"/>
      <c r="E26" s="51"/>
      <c r="F26" s="51"/>
      <c r="G26" s="51"/>
      <c r="H26" s="51"/>
      <c r="I26" s="51"/>
    </row>
    <row r="27" spans="1:9" x14ac:dyDescent="0.55000000000000004">
      <c r="A27" s="51"/>
      <c r="B27" s="51"/>
      <c r="C27" s="51"/>
      <c r="D27" s="51"/>
      <c r="E27" s="51"/>
      <c r="F27" s="51"/>
      <c r="G27" s="51"/>
      <c r="H27" s="51"/>
      <c r="I27" s="51"/>
    </row>
    <row r="28" spans="1:9" x14ac:dyDescent="0.55000000000000004">
      <c r="A28" s="51"/>
      <c r="B28" s="51"/>
      <c r="C28" s="51"/>
      <c r="D28" s="51"/>
      <c r="E28" s="51"/>
      <c r="F28" s="51"/>
      <c r="G28" s="51"/>
      <c r="H28" s="51"/>
      <c r="I28" s="51"/>
    </row>
    <row r="29" spans="1:9" x14ac:dyDescent="0.55000000000000004">
      <c r="A29" s="51"/>
      <c r="B29" s="51"/>
      <c r="C29" s="51"/>
      <c r="D29" s="51"/>
      <c r="E29" s="51"/>
      <c r="F29" s="51"/>
      <c r="G29" s="51"/>
      <c r="H29" s="51"/>
      <c r="I29" s="51"/>
    </row>
  </sheetData>
  <conditionalFormatting sqref="I1">
    <cfRule type="containsText" dxfId="28" priority="1" operator="containsText" text="Shipped">
      <formula>NOT(ISERROR(SEARCH("Shipped",I1)))</formula>
    </cfRule>
    <cfRule type="containsText" dxfId="27" priority="2" operator="containsText" text="Packaging">
      <formula>NOT(ISERROR(SEARCH("Packaging",I1)))</formula>
    </cfRule>
    <cfRule type="containsText" dxfId="26" priority="3" operator="containsText" text="Final ">
      <formula>NOT(ISERROR(SEARCH("Final ",I1)))</formula>
    </cfRule>
    <cfRule type="containsText" dxfId="25" priority="4" operator="containsText" text="at Inspecting after RC from Conf.Coat.">
      <formula>NOT(ISERROR(SEARCH("at Inspecting after RC from Conf.Coat.",I1)))</formula>
    </cfRule>
    <cfRule type="containsText" dxfId="24" priority="5" operator="containsText" text="at Conformal Coating">
      <formula>NOT(ISERROR(SEARCH("at Conformal Coating",I1)))</formula>
    </cfRule>
    <cfRule type="containsText" dxfId="23" priority="6" operator="containsText" text="Through Hole">
      <formula>NOT(ISERROR(SEARCH("Through Hole",I1)))</formula>
    </cfRule>
    <cfRule type="containsText" dxfId="22" priority="7" operator="containsText" text="AOI">
      <formula>NOT(ISERROR(SEARCH("AOI",I1)))</formula>
    </cfRule>
    <cfRule type="containsText" dxfId="21" priority="8" operator="containsText" text="SMT Production">
      <formula>NOT(ISERROR(SEARCH("SMT Production",I1)))</formula>
    </cfRule>
    <cfRule type="containsText" dxfId="20" priority="9" operator="containsText" text="SMT Setup">
      <formula>NOT(ISERROR(SEARCH("SMT Setup",I1)))</formula>
    </cfRule>
    <cfRule type="containsText" dxfId="19" priority="10" operator="containsText" text="SMT Kitting">
      <formula>NOT(ISERROR(SEARCH("SMT Kitting",I1)))</formula>
    </cfRule>
    <cfRule type="containsText" dxfId="18" priority="11" operator="containsText" text="Receiving Inspection Completed">
      <formula>NOT(ISERROR(SEARCH("Receiving Inspection Completed",I1)))</formula>
    </cfRule>
    <cfRule type="containsText" dxfId="17" priority="12" operator="containsText" text="Receiving Inspection">
      <formula>NOT(ISERROR(SEARCH("Receiving Inspection",I1)))</formula>
    </cfRule>
    <cfRule type="containsText" dxfId="16" priority="13" operator="containsText" text="Purchasing Completed">
      <formula>NOT(ISERROR(SEARCH("Purchasing Completed",I1)))</formula>
    </cfRule>
    <cfRule type="containsText" dxfId="15" priority="14" operator="containsText" text="Purchasing in Progress">
      <formula>NOT(ISERROR(SEARCH("Purchasing in Progress",I1)))</formula>
    </cfRule>
  </conditionalFormatting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691561-600F-4E6C-95CC-7DCBE0534A61}">
          <x14:formula1>
            <xm:f>'Color Code'!$A$2:$A$15</xm:f>
          </x14:formula1>
          <xm:sqref>I1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6B9A-655F-4A5F-B48C-AE5230201353}">
  <dimension ref="A1:G29"/>
  <sheetViews>
    <sheetView workbookViewId="0">
      <selection activeCell="D3" sqref="D3"/>
    </sheetView>
  </sheetViews>
  <sheetFormatPr defaultColWidth="9.15625" defaultRowHeight="14.4" x14ac:dyDescent="0.55000000000000004"/>
  <cols>
    <col min="1" max="1" width="9.15625" style="49"/>
    <col min="2" max="2" width="12.83984375" style="49" customWidth="1"/>
    <col min="3" max="3" width="9.15625" style="49"/>
    <col min="4" max="4" width="29" style="49" customWidth="1"/>
    <col min="5" max="5" width="13.41796875" style="49" customWidth="1"/>
    <col min="6" max="7" width="9.15625" style="49"/>
    <col min="8" max="16384" width="9.15625" style="48"/>
  </cols>
  <sheetData>
    <row r="1" spans="1:7" x14ac:dyDescent="0.55000000000000004">
      <c r="A1" s="54" t="s">
        <v>2</v>
      </c>
      <c r="B1" s="45" t="s">
        <v>0</v>
      </c>
      <c r="C1" s="45" t="s">
        <v>203</v>
      </c>
      <c r="D1" s="45" t="s">
        <v>482</v>
      </c>
      <c r="E1" s="45" t="s">
        <v>2</v>
      </c>
      <c r="F1" s="45" t="s">
        <v>3</v>
      </c>
      <c r="G1" s="45" t="s">
        <v>5</v>
      </c>
    </row>
    <row r="2" spans="1:7" ht="75" customHeight="1" x14ac:dyDescent="0.55000000000000004">
      <c r="A2" s="41">
        <v>1</v>
      </c>
      <c r="B2" s="41" t="s">
        <v>173</v>
      </c>
      <c r="C2" s="41"/>
      <c r="D2" s="41"/>
      <c r="E2" s="41" t="s">
        <v>479</v>
      </c>
      <c r="F2" s="41">
        <v>20</v>
      </c>
      <c r="G2" s="41"/>
    </row>
    <row r="3" spans="1:7" ht="75" customHeight="1" x14ac:dyDescent="0.55000000000000004">
      <c r="A3" s="41">
        <v>2</v>
      </c>
      <c r="B3" s="41" t="s">
        <v>173</v>
      </c>
      <c r="C3" s="41"/>
      <c r="D3" s="41"/>
      <c r="E3" s="41" t="s">
        <v>480</v>
      </c>
      <c r="F3" s="41">
        <v>5</v>
      </c>
      <c r="G3" s="41"/>
    </row>
    <row r="4" spans="1:7" ht="75" customHeight="1" x14ac:dyDescent="0.55000000000000004">
      <c r="A4" s="41">
        <v>3</v>
      </c>
      <c r="B4" s="41" t="s">
        <v>173</v>
      </c>
      <c r="C4" s="41"/>
      <c r="D4" s="41"/>
      <c r="E4" s="41" t="s">
        <v>481</v>
      </c>
      <c r="F4" s="41">
        <v>5</v>
      </c>
      <c r="G4" s="41"/>
    </row>
    <row r="5" spans="1:7" ht="75" customHeight="1" x14ac:dyDescent="0.55000000000000004">
      <c r="A5" s="41">
        <v>4</v>
      </c>
      <c r="B5" s="41" t="s">
        <v>173</v>
      </c>
      <c r="C5" s="41"/>
      <c r="D5" s="41"/>
      <c r="E5" s="41" t="s">
        <v>213</v>
      </c>
      <c r="F5" s="41">
        <v>170</v>
      </c>
      <c r="G5" s="41"/>
    </row>
    <row r="6" spans="1:7" ht="75" customHeight="1" x14ac:dyDescent="0.55000000000000004">
      <c r="A6" s="41">
        <v>5</v>
      </c>
      <c r="B6" s="41" t="s">
        <v>173</v>
      </c>
      <c r="C6" s="41"/>
      <c r="D6" s="41"/>
      <c r="E6" s="41" t="s">
        <v>175</v>
      </c>
      <c r="F6" s="41">
        <v>42</v>
      </c>
      <c r="G6" s="41"/>
    </row>
    <row r="7" spans="1:7" ht="75" customHeight="1" x14ac:dyDescent="0.55000000000000004">
      <c r="A7" s="41"/>
      <c r="B7" s="41"/>
      <c r="C7" s="41"/>
      <c r="D7" s="41"/>
      <c r="E7" s="41"/>
      <c r="F7" s="41"/>
      <c r="G7" s="41"/>
    </row>
    <row r="8" spans="1:7" ht="75" customHeight="1" x14ac:dyDescent="0.55000000000000004">
      <c r="A8" s="41"/>
      <c r="B8" s="41"/>
      <c r="C8" s="41"/>
      <c r="D8" s="41"/>
      <c r="E8" s="41"/>
      <c r="F8" s="41"/>
      <c r="G8" s="41"/>
    </row>
    <row r="9" spans="1:7" ht="75" customHeight="1" x14ac:dyDescent="0.55000000000000004">
      <c r="A9" s="41"/>
      <c r="B9" s="41"/>
      <c r="C9" s="41"/>
      <c r="D9" s="41"/>
      <c r="E9" s="41"/>
      <c r="F9" s="41"/>
      <c r="G9" s="41"/>
    </row>
    <row r="10" spans="1:7" ht="75" customHeight="1" x14ac:dyDescent="0.55000000000000004">
      <c r="A10" s="41"/>
      <c r="B10" s="41"/>
      <c r="C10" s="41"/>
      <c r="D10" s="41"/>
      <c r="E10" s="41"/>
      <c r="F10" s="41"/>
      <c r="G10" s="41"/>
    </row>
    <row r="11" spans="1:7" x14ac:dyDescent="0.55000000000000004">
      <c r="A11" s="41"/>
      <c r="B11" s="41"/>
      <c r="C11" s="41"/>
      <c r="D11" s="41"/>
      <c r="E11" s="41"/>
      <c r="F11" s="41"/>
      <c r="G11" s="41"/>
    </row>
    <row r="12" spans="1:7" x14ac:dyDescent="0.55000000000000004">
      <c r="A12" s="41"/>
      <c r="B12" s="41"/>
      <c r="C12" s="41"/>
      <c r="D12" s="41"/>
      <c r="E12" s="41"/>
      <c r="F12" s="41"/>
      <c r="G12" s="41"/>
    </row>
    <row r="13" spans="1:7" x14ac:dyDescent="0.55000000000000004">
      <c r="A13" s="41"/>
      <c r="B13" s="41"/>
      <c r="C13" s="41"/>
      <c r="D13" s="41"/>
      <c r="E13" s="41"/>
      <c r="F13" s="41"/>
      <c r="G13" s="41"/>
    </row>
    <row r="14" spans="1:7" x14ac:dyDescent="0.55000000000000004">
      <c r="A14" s="41"/>
      <c r="B14" s="41"/>
      <c r="C14" s="41"/>
      <c r="D14" s="41"/>
      <c r="E14" s="41"/>
      <c r="F14" s="41"/>
      <c r="G14" s="41"/>
    </row>
    <row r="15" spans="1:7" x14ac:dyDescent="0.55000000000000004">
      <c r="A15" s="41"/>
      <c r="B15" s="41"/>
      <c r="C15" s="41"/>
      <c r="D15" s="41"/>
      <c r="E15" s="41"/>
      <c r="F15" s="41"/>
      <c r="G15" s="41"/>
    </row>
    <row r="16" spans="1:7" x14ac:dyDescent="0.55000000000000004">
      <c r="A16" s="41"/>
      <c r="B16" s="41"/>
      <c r="C16" s="41"/>
      <c r="D16" s="41"/>
      <c r="E16" s="41"/>
      <c r="F16" s="41"/>
      <c r="G16" s="41"/>
    </row>
    <row r="17" spans="1:7" x14ac:dyDescent="0.55000000000000004">
      <c r="A17" s="41"/>
      <c r="B17" s="41"/>
      <c r="C17" s="41"/>
      <c r="D17" s="41"/>
      <c r="E17" s="41"/>
      <c r="F17" s="41"/>
      <c r="G17" s="41"/>
    </row>
    <row r="18" spans="1:7" x14ac:dyDescent="0.55000000000000004">
      <c r="A18" s="41"/>
      <c r="B18" s="41"/>
      <c r="C18" s="41"/>
      <c r="D18" s="41"/>
      <c r="E18" s="41"/>
      <c r="F18" s="41"/>
      <c r="G18" s="41"/>
    </row>
    <row r="19" spans="1:7" x14ac:dyDescent="0.55000000000000004">
      <c r="A19" s="41"/>
      <c r="B19" s="41"/>
      <c r="C19" s="41"/>
      <c r="D19" s="41"/>
      <c r="E19" s="41"/>
      <c r="F19" s="41"/>
      <c r="G19" s="41"/>
    </row>
    <row r="20" spans="1:7" x14ac:dyDescent="0.55000000000000004">
      <c r="A20" s="41"/>
      <c r="B20" s="41"/>
      <c r="C20" s="41"/>
      <c r="D20" s="41"/>
      <c r="E20" s="41"/>
      <c r="F20" s="41"/>
      <c r="G20" s="41"/>
    </row>
    <row r="21" spans="1:7" x14ac:dyDescent="0.55000000000000004">
      <c r="A21" s="41"/>
      <c r="B21" s="41"/>
      <c r="C21" s="41"/>
      <c r="D21" s="41"/>
      <c r="E21" s="41"/>
      <c r="F21" s="41"/>
      <c r="G21" s="41"/>
    </row>
    <row r="22" spans="1:7" x14ac:dyDescent="0.55000000000000004">
      <c r="A22" s="41"/>
      <c r="B22" s="41"/>
      <c r="C22" s="41"/>
      <c r="D22" s="41"/>
      <c r="E22" s="41"/>
      <c r="F22" s="41"/>
      <c r="G22" s="41"/>
    </row>
    <row r="23" spans="1:7" x14ac:dyDescent="0.55000000000000004">
      <c r="A23" s="41"/>
      <c r="B23" s="41"/>
      <c r="C23" s="41"/>
      <c r="D23" s="41"/>
      <c r="E23" s="41"/>
      <c r="F23" s="41"/>
      <c r="G23" s="41"/>
    </row>
    <row r="24" spans="1:7" x14ac:dyDescent="0.55000000000000004">
      <c r="A24" s="41"/>
      <c r="B24" s="41"/>
      <c r="C24" s="41"/>
      <c r="D24" s="41"/>
      <c r="E24" s="41"/>
      <c r="F24" s="41"/>
      <c r="G24" s="41"/>
    </row>
    <row r="25" spans="1:7" x14ac:dyDescent="0.55000000000000004">
      <c r="A25" s="41"/>
      <c r="B25" s="41"/>
      <c r="C25" s="41"/>
      <c r="D25" s="41"/>
      <c r="E25" s="41"/>
      <c r="F25" s="41"/>
      <c r="G25" s="41"/>
    </row>
    <row r="26" spans="1:7" x14ac:dyDescent="0.55000000000000004">
      <c r="A26" s="41"/>
      <c r="B26" s="41"/>
      <c r="C26" s="41"/>
      <c r="D26" s="41"/>
      <c r="E26" s="41"/>
      <c r="F26" s="41"/>
      <c r="G26" s="41"/>
    </row>
    <row r="27" spans="1:7" x14ac:dyDescent="0.55000000000000004">
      <c r="A27" s="41"/>
      <c r="B27" s="41"/>
      <c r="C27" s="41"/>
      <c r="D27" s="41"/>
      <c r="E27" s="41"/>
      <c r="F27" s="41"/>
      <c r="G27" s="41"/>
    </row>
    <row r="28" spans="1:7" x14ac:dyDescent="0.55000000000000004">
      <c r="A28" s="41"/>
      <c r="B28" s="41"/>
      <c r="C28" s="41"/>
      <c r="D28" s="41"/>
      <c r="E28" s="41"/>
      <c r="F28" s="41"/>
      <c r="G28" s="41"/>
    </row>
    <row r="29" spans="1:7" x14ac:dyDescent="0.55000000000000004">
      <c r="A29" s="41"/>
      <c r="B29" s="41"/>
      <c r="C29" s="41"/>
      <c r="D29" s="41"/>
      <c r="E29" s="41"/>
      <c r="F29" s="41"/>
      <c r="G29" s="41"/>
    </row>
  </sheetData>
  <conditionalFormatting sqref="G1">
    <cfRule type="containsText" dxfId="14" priority="1" operator="containsText" text="Shipped">
      <formula>NOT(ISERROR(SEARCH("Shipped",G1)))</formula>
    </cfRule>
    <cfRule type="containsText" dxfId="13" priority="2" operator="containsText" text="Packaging">
      <formula>NOT(ISERROR(SEARCH("Packaging",G1)))</formula>
    </cfRule>
    <cfRule type="containsText" dxfId="12" priority="3" operator="containsText" text="Final ">
      <formula>NOT(ISERROR(SEARCH("Final ",G1)))</formula>
    </cfRule>
    <cfRule type="containsText" dxfId="11" priority="4" operator="containsText" text="at Inspecting after RC from Conf.Coat.">
      <formula>NOT(ISERROR(SEARCH("at Inspecting after RC from Conf.Coat.",G1)))</formula>
    </cfRule>
    <cfRule type="containsText" dxfId="10" priority="5" operator="containsText" text="at Conformal Coating">
      <formula>NOT(ISERROR(SEARCH("at Conformal Coating",G1)))</formula>
    </cfRule>
    <cfRule type="containsText" dxfId="9" priority="6" operator="containsText" text="Through Hole">
      <formula>NOT(ISERROR(SEARCH("Through Hole",G1)))</formula>
    </cfRule>
    <cfRule type="containsText" dxfId="8" priority="7" operator="containsText" text="AOI">
      <formula>NOT(ISERROR(SEARCH("AOI",G1)))</formula>
    </cfRule>
    <cfRule type="containsText" dxfId="7" priority="8" operator="containsText" text="SMT Production">
      <formula>NOT(ISERROR(SEARCH("SMT Production",G1)))</formula>
    </cfRule>
    <cfRule type="containsText" dxfId="6" priority="9" operator="containsText" text="SMT Setup">
      <formula>NOT(ISERROR(SEARCH("SMT Setup",G1)))</formula>
    </cfRule>
    <cfRule type="containsText" dxfId="5" priority="10" operator="containsText" text="SMT Kitting">
      <formula>NOT(ISERROR(SEARCH("SMT Kitting",G1)))</formula>
    </cfRule>
    <cfRule type="containsText" dxfId="4" priority="11" operator="containsText" text="Receiving Inspection Completed">
      <formula>NOT(ISERROR(SEARCH("Receiving Inspection Completed",G1)))</formula>
    </cfRule>
    <cfRule type="containsText" dxfId="3" priority="12" operator="containsText" text="Receiving Inspection">
      <formula>NOT(ISERROR(SEARCH("Receiving Inspection",G1)))</formula>
    </cfRule>
    <cfRule type="containsText" dxfId="2" priority="13" operator="containsText" text="Purchasing Completed">
      <formula>NOT(ISERROR(SEARCH("Purchasing Completed",G1)))</formula>
    </cfRule>
    <cfRule type="containsText" dxfId="1" priority="14" operator="containsText" text="Purchasing in Progress">
      <formula>NOT(ISERROR(SEARCH("Purchasing in Progress",G1)))</formula>
    </cfRule>
  </conditionalFormatting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23CB77-26CD-4BA3-8838-3F995F3021F1}">
          <x14:formula1>
            <xm:f>'Color Code'!$A$2:$A$15</xm:f>
          </x14:formula1>
          <xm:sqref>G1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69EC-018B-42D5-A87B-75E5D27A4DB6}">
  <sheetPr codeName="Sheet7">
    <pageSetUpPr fitToPage="1"/>
  </sheetPr>
  <dimension ref="A1:G17"/>
  <sheetViews>
    <sheetView zoomScale="40" zoomScaleNormal="40" workbookViewId="0">
      <selection activeCell="A33" sqref="A33"/>
    </sheetView>
  </sheetViews>
  <sheetFormatPr defaultColWidth="39" defaultRowHeight="14.4" x14ac:dyDescent="0.55000000000000004"/>
  <cols>
    <col min="4" max="4" width="44.15625" customWidth="1"/>
    <col min="6" max="6" width="0" style="20" hidden="1" customWidth="1"/>
  </cols>
  <sheetData>
    <row r="1" spans="1:7" ht="36" thickBot="1" x14ac:dyDescent="1.35">
      <c r="A1" s="19"/>
      <c r="B1" s="69" t="s">
        <v>156</v>
      </c>
      <c r="C1" s="70"/>
      <c r="D1" s="19"/>
      <c r="E1" s="19"/>
      <c r="F1" s="22"/>
    </row>
    <row r="2" spans="1:7" ht="20.7" thickBot="1" x14ac:dyDescent="0.6">
      <c r="A2" s="25" t="s">
        <v>150</v>
      </c>
      <c r="B2" s="25" t="s">
        <v>151</v>
      </c>
      <c r="C2" s="25" t="s">
        <v>152</v>
      </c>
      <c r="D2" s="25" t="s">
        <v>153</v>
      </c>
      <c r="E2" s="25" t="s">
        <v>154</v>
      </c>
      <c r="F2" s="23" t="s">
        <v>155</v>
      </c>
    </row>
    <row r="3" spans="1:7" ht="387.6" x14ac:dyDescent="0.55000000000000004">
      <c r="A3" s="26" t="s">
        <v>159</v>
      </c>
      <c r="B3" s="26" t="s">
        <v>160</v>
      </c>
      <c r="C3" s="26" t="s">
        <v>165</v>
      </c>
      <c r="D3" s="26" t="s">
        <v>166</v>
      </c>
      <c r="E3" s="26" t="s">
        <v>167</v>
      </c>
      <c r="F3" s="24">
        <v>11</v>
      </c>
      <c r="G3" s="77" t="s">
        <v>295</v>
      </c>
    </row>
    <row r="4" spans="1:7" ht="367.2" x14ac:dyDescent="0.55000000000000004">
      <c r="A4" s="26" t="s">
        <v>168</v>
      </c>
      <c r="B4" s="26" t="s">
        <v>171</v>
      </c>
      <c r="C4" s="26" t="s">
        <v>170</v>
      </c>
      <c r="D4" s="26" t="s">
        <v>172</v>
      </c>
      <c r="E4" s="26" t="s">
        <v>183</v>
      </c>
      <c r="F4" s="24">
        <v>18</v>
      </c>
      <c r="G4" s="78"/>
    </row>
    <row r="5" spans="1:7" ht="326.39999999999998" x14ac:dyDescent="0.55000000000000004">
      <c r="A5" s="26" t="s">
        <v>179</v>
      </c>
      <c r="B5" s="26" t="s">
        <v>184</v>
      </c>
      <c r="C5" s="26" t="s">
        <v>185</v>
      </c>
      <c r="D5" s="26" t="s">
        <v>186</v>
      </c>
      <c r="E5" s="26" t="s">
        <v>158</v>
      </c>
      <c r="F5" s="24">
        <v>25</v>
      </c>
      <c r="G5" s="78"/>
    </row>
    <row r="6" spans="1:7" ht="224.7" thickBot="1" x14ac:dyDescent="0.6">
      <c r="A6" s="26" t="s">
        <v>192</v>
      </c>
      <c r="B6" s="26" t="s">
        <v>195</v>
      </c>
      <c r="C6" s="26" t="s">
        <v>194</v>
      </c>
      <c r="D6" s="26" t="s">
        <v>197</v>
      </c>
      <c r="E6" s="26" t="s">
        <v>196</v>
      </c>
      <c r="F6" s="24">
        <v>1</v>
      </c>
      <c r="G6" s="79"/>
    </row>
    <row r="7" spans="1:7" ht="224.4" x14ac:dyDescent="0.55000000000000004">
      <c r="A7" s="26" t="s">
        <v>202</v>
      </c>
      <c r="B7" s="26" t="s">
        <v>201</v>
      </c>
      <c r="C7" s="26" t="s">
        <v>200</v>
      </c>
      <c r="D7" s="26" t="s">
        <v>209</v>
      </c>
      <c r="E7" s="26" t="s">
        <v>216</v>
      </c>
      <c r="F7" s="24">
        <v>8</v>
      </c>
      <c r="G7" s="74" t="s">
        <v>294</v>
      </c>
    </row>
    <row r="8" spans="1:7" ht="183.6" x14ac:dyDescent="0.55000000000000004">
      <c r="A8" s="26" t="s">
        <v>214</v>
      </c>
      <c r="B8" s="26" t="s">
        <v>215</v>
      </c>
      <c r="C8" s="26" t="s">
        <v>217</v>
      </c>
      <c r="D8" s="26" t="s">
        <v>218</v>
      </c>
      <c r="E8" s="26" t="s">
        <v>223</v>
      </c>
      <c r="F8" s="24">
        <v>45049</v>
      </c>
      <c r="G8" s="75"/>
    </row>
    <row r="9" spans="1:7" ht="183.6" x14ac:dyDescent="0.55000000000000004">
      <c r="A9" s="26" t="s">
        <v>224</v>
      </c>
      <c r="B9" s="26" t="s">
        <v>228</v>
      </c>
      <c r="C9" s="26" t="s">
        <v>229</v>
      </c>
      <c r="D9" s="26" t="s">
        <v>233</v>
      </c>
      <c r="E9" s="26" t="s">
        <v>234</v>
      </c>
      <c r="F9" s="24">
        <v>15</v>
      </c>
      <c r="G9" s="75"/>
    </row>
    <row r="10" spans="1:7" ht="204.3" thickBot="1" x14ac:dyDescent="0.6">
      <c r="A10" s="28" t="s">
        <v>237</v>
      </c>
      <c r="B10" s="26" t="s">
        <v>236</v>
      </c>
      <c r="C10" s="26" t="s">
        <v>244</v>
      </c>
      <c r="D10" s="26" t="s">
        <v>245</v>
      </c>
      <c r="E10" s="26" t="s">
        <v>246</v>
      </c>
      <c r="F10" s="67">
        <v>22</v>
      </c>
      <c r="G10" s="76"/>
    </row>
    <row r="11" spans="1:7" ht="237.75" customHeight="1" thickBot="1" x14ac:dyDescent="0.6">
      <c r="A11" s="29" t="s">
        <v>238</v>
      </c>
      <c r="B11" s="30" t="s">
        <v>242</v>
      </c>
      <c r="C11" s="30" t="s">
        <v>241</v>
      </c>
      <c r="D11" s="30" t="s">
        <v>243</v>
      </c>
      <c r="E11" s="30" t="s">
        <v>247</v>
      </c>
      <c r="F11" s="68"/>
      <c r="G11" s="71" t="s">
        <v>293</v>
      </c>
    </row>
    <row r="12" spans="1:7" ht="224.7" thickBot="1" x14ac:dyDescent="0.6">
      <c r="A12" s="31" t="s">
        <v>248</v>
      </c>
      <c r="B12" s="32" t="s">
        <v>256</v>
      </c>
      <c r="C12" s="31" t="s">
        <v>239</v>
      </c>
      <c r="D12" s="31" t="s">
        <v>240</v>
      </c>
      <c r="E12" s="31" t="s">
        <v>255</v>
      </c>
      <c r="F12" s="27"/>
      <c r="G12" s="72"/>
    </row>
    <row r="13" spans="1:7" ht="224.7" thickBot="1" x14ac:dyDescent="0.6">
      <c r="A13" s="33">
        <v>15</v>
      </c>
      <c r="B13" s="31" t="s">
        <v>257</v>
      </c>
      <c r="C13" s="31" t="s">
        <v>259</v>
      </c>
      <c r="D13" s="31" t="s">
        <v>258</v>
      </c>
      <c r="E13" s="35" t="s">
        <v>260</v>
      </c>
      <c r="F13" s="27"/>
      <c r="G13" s="73"/>
    </row>
    <row r="14" spans="1:7" ht="222.75" customHeight="1" thickBot="1" x14ac:dyDescent="0.6">
      <c r="A14" s="34">
        <v>5</v>
      </c>
      <c r="B14" s="31" t="s">
        <v>297</v>
      </c>
      <c r="C14" s="31">
        <v>7</v>
      </c>
      <c r="D14" s="31" t="s">
        <v>298</v>
      </c>
      <c r="E14" s="31" t="s">
        <v>299</v>
      </c>
      <c r="F14" s="21"/>
      <c r="G14" s="64" t="s">
        <v>296</v>
      </c>
    </row>
    <row r="15" spans="1:7" ht="198.75" customHeight="1" thickBot="1" x14ac:dyDescent="0.6">
      <c r="A15" s="31" t="s">
        <v>302</v>
      </c>
      <c r="B15" s="31" t="s">
        <v>301</v>
      </c>
      <c r="C15" s="31" t="s">
        <v>303</v>
      </c>
      <c r="D15" s="31" t="s">
        <v>318</v>
      </c>
      <c r="E15" s="31">
        <v>16</v>
      </c>
      <c r="G15" s="65"/>
    </row>
    <row r="16" spans="1:7" ht="211.5" customHeight="1" thickBot="1" x14ac:dyDescent="0.6">
      <c r="A16" s="31" t="s">
        <v>335</v>
      </c>
      <c r="B16" s="31" t="s">
        <v>333</v>
      </c>
      <c r="C16" s="31" t="s">
        <v>332</v>
      </c>
      <c r="D16" s="36" t="s">
        <v>334</v>
      </c>
      <c r="E16" s="36">
        <v>23</v>
      </c>
      <c r="G16" s="65"/>
    </row>
    <row r="17" spans="1:7" ht="275.25" customHeight="1" thickBot="1" x14ac:dyDescent="0.6">
      <c r="A17" s="37">
        <v>26</v>
      </c>
      <c r="B17" s="36">
        <v>27</v>
      </c>
      <c r="C17" s="36">
        <v>28</v>
      </c>
      <c r="D17" s="36">
        <v>29</v>
      </c>
      <c r="E17" s="36">
        <v>30</v>
      </c>
      <c r="G17" s="66"/>
    </row>
  </sheetData>
  <mergeCells count="6">
    <mergeCell ref="G14:G17"/>
    <mergeCell ref="F10:F11"/>
    <mergeCell ref="B1:C1"/>
    <mergeCell ref="G11:G13"/>
    <mergeCell ref="G7:G10"/>
    <mergeCell ref="G3:G6"/>
  </mergeCells>
  <conditionalFormatting sqref="A3:F10">
    <cfRule type="expression" dxfId="0" priority="8">
      <formula>DAY(A3)&gt;8</formula>
    </cfRule>
  </conditionalFormatting>
  <dataValidations count="1">
    <dataValidation allowBlank="1" showInputMessage="1" showErrorMessage="1" prompt="Automatically determined weekday" sqref="A2:F2" xr:uid="{8FC12E97-C2DA-4823-B5D8-68079F0C5A99}"/>
  </dataValidations>
  <pageMargins left="0.7" right="0.7" top="0.75" bottom="0.75" header="0.3" footer="0.3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Color Code</vt:lpstr>
      <vt:lpstr>Open Po</vt:lpstr>
      <vt:lpstr>Completed 2025</vt:lpstr>
      <vt:lpstr>Completed 2024</vt:lpstr>
      <vt:lpstr>Production Log LN 1</vt:lpstr>
      <vt:lpstr>Production Log LN 2</vt:lpstr>
      <vt:lpstr>Calendar</vt:lpstr>
      <vt:lpstr>'Open Po'!Print_Area</vt:lpstr>
      <vt:lpstr>'Production Log LN 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Mankoura</dc:creator>
  <cp:lastModifiedBy>Mark Mankoura</cp:lastModifiedBy>
  <cp:lastPrinted>2026-01-01T17:44:51Z</cp:lastPrinted>
  <dcterms:created xsi:type="dcterms:W3CDTF">2024-01-03T23:55:55Z</dcterms:created>
  <dcterms:modified xsi:type="dcterms:W3CDTF">2026-01-11T02:53:41Z</dcterms:modified>
</cp:coreProperties>
</file>